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DdA" sheetId="2" state="visible" r:id="rId4"/>
    <sheet name="Synthèse" sheetId="3" state="visible" r:id="rId5"/>
  </sheets>
  <definedNames>
    <definedName function="false" hidden="true" localSheetId="1" name="_xlnm._FilterDatabase" vbProcedure="false">DdA!$A$4:$I$101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<sst xmlns="http://schemas.openxmlformats.org/spreadsheetml/2006/main" count="897" uniqueCount="404">
  <si>
    <t xml:space="preserve">Déclaration d'applicabilité — NotAge</t>
  </si>
  <si>
    <t xml:space="preserve">Référence</t>
  </si>
  <si>
    <t xml:space="preserve">NTG-SMSI-DDA-001</t>
  </si>
  <si>
    <t xml:space="preserve">Version</t>
  </si>
  <si>
    <t xml:space="preserve">1.0</t>
  </si>
  <si>
    <t xml:space="preserve">Date</t>
  </si>
  <si>
    <t xml:space="preserve">27/09/2026</t>
  </si>
  <si>
    <t xml:space="preserve">Propriétaire</t>
  </si>
  <si>
    <t xml:space="preserve">RSSI</t>
  </si>
  <si>
    <t xml:space="preserve">Approbateur</t>
  </si>
  <si>
    <t xml:space="preserve">Direction générale (CEO)</t>
  </si>
  <si>
    <t xml:space="preserve">Classification</t>
  </si>
  <si>
    <t xml:space="preserve">Interne (publié à titre de démonstration, entreprise fictive)</t>
  </si>
  <si>
    <t xml:space="preserve">Référentiel</t>
  </si>
  <si>
    <t xml:space="preserve">ISO/IEC 27001:2022, annexe A (93 mesures) — seuls les numéros et intitulés sont cités</t>
  </si>
  <si>
    <t xml:space="preserve">Exigence couverte</t>
  </si>
  <si>
    <t xml:space="preserve">ISO/IEC 27001:2022, article 6.1.3 d)</t>
  </si>
  <si>
    <t xml:space="preserve">Lecture</t>
  </si>
  <si>
    <t xml:space="preserve">Applicable</t>
  </si>
  <si>
    <t xml:space="preserve">Oui si la mesure est nécessaire au SMSI de NotAge ; Non avec justification d'exclusion.</t>
  </si>
  <si>
    <t xml:space="preserve">Sources</t>
  </si>
  <si>
    <t xml:space="preserve">Rxx : réduit le scénario de risque Rxx (registre NTG-SMSI-RSK-002) · LEG : exigence légale ou réglementaire · CTR : exigence contractuelle (clients, clauses DORA) · SMSI : exigence du système de management ou bonne pratique.</t>
  </si>
  <si>
    <t xml:space="preserve">Mesure prioritaire</t>
  </si>
  <si>
    <t xml:space="preserve">Oui pour les 28 mesures retenues par le plan de traitement des risques (NTG-SMSI-RSK-004).</t>
  </si>
  <si>
    <t xml:space="preserve">Statut</t>
  </si>
  <si>
    <t xml:space="preserve">Mise en œuvre · Partielle (existe mais incomplète ou non formalisée) · Planifiée (prévue au plan de traitement ou à la feuille de route) · Non applicable.</t>
  </si>
  <si>
    <t xml:space="preserve">Document où la mesure est décrite : POL, GOV, CTX, DOC, RSK, PIL (dossiers du dépôt), PSSI §n (section de la PSSI), PRC-001 (incidents), PRC-002 (accès).</t>
  </si>
  <si>
    <t xml:space="preserve">Déclaration d'applicabilité — 93 mesures de l'annexe A</t>
  </si>
  <si>
    <t xml:space="preserve">NTG-SMSI-DDA-001 v1.0 · 27/09/2026 · approuvée par la direction générale</t>
  </si>
  <si>
    <t xml:space="preserve">Mesure</t>
  </si>
  <si>
    <t xml:space="preserve">Thème</t>
  </si>
  <si>
    <t xml:space="preserve">Intitulé</t>
  </si>
  <si>
    <t xml:space="preserve">Justification (inclusion ou exclusion)</t>
  </si>
  <si>
    <t xml:space="preserve">Statut de mise en œuvre</t>
  </si>
  <si>
    <t xml:space="preserve">A.5 — Mesures organisationnelles</t>
  </si>
  <si>
    <t xml:space="preserve">5.1</t>
  </si>
  <si>
    <t xml:space="preserve">Organisationnelles</t>
  </si>
  <si>
    <t xml:space="preserve">Politiques de sécurité de l'information</t>
  </si>
  <si>
    <t xml:space="preserve">Oui</t>
  </si>
  <si>
    <t xml:space="preserve">Politique du SMSI et PSSI approuvées par la direction et déclinées en procédures.</t>
  </si>
  <si>
    <t xml:space="preserve">SMSI</t>
  </si>
  <si>
    <t xml:space="preserve">—</t>
  </si>
  <si>
    <t xml:space="preserve">Mise en œuvre</t>
  </si>
  <si>
    <t xml:space="preserve">POL-001, PSSI</t>
  </si>
  <si>
    <t xml:space="preserve">5.2</t>
  </si>
  <si>
    <t xml:space="preserve">Fonctions et responsabilités liées à la sécurité de l'information</t>
  </si>
  <si>
    <t xml:space="preserve">Rôles, comité de sécurité et matrice RACI définis et communiqués.</t>
  </si>
  <si>
    <t xml:space="preserve">GOV-001</t>
  </si>
  <si>
    <t xml:space="preserve">5.3</t>
  </si>
  <si>
    <t xml:space="preserve">Séparation des tâches</t>
  </si>
  <si>
    <t xml:space="preserve">La RSSI n'administre pas la production ; aucun déploiement sans validation d'un tiers.</t>
  </si>
  <si>
    <t xml:space="preserve">R02, R05</t>
  </si>
  <si>
    <t xml:space="preserve">Partielle</t>
  </si>
  <si>
    <t xml:space="preserve">GOV-001, PSSI §8</t>
  </si>
  <si>
    <t xml:space="preserve">5.4</t>
  </si>
  <si>
    <t xml:space="preserve">Responsabilités de la direction</t>
  </si>
  <si>
    <t xml:space="preserve">La direction exige de tous les salariés et prestataires l'application de la PSSI.</t>
  </si>
  <si>
    <t xml:space="preserve">POL-001</t>
  </si>
  <si>
    <t xml:space="preserve">5.5</t>
  </si>
  <si>
    <t xml:space="preserve">Contacts avec les autorités</t>
  </si>
  <si>
    <t xml:space="preserve">Contacts identifiés : CNIL (violations de données), ANSSI et CERT-FR, forces de l'ordre (fraude).</t>
  </si>
  <si>
    <t xml:space="preserve">LEG</t>
  </si>
  <si>
    <t xml:space="preserve">PRC-001</t>
  </si>
  <si>
    <t xml:space="preserve">5.6</t>
  </si>
  <si>
    <t xml:space="preserve">Contacts avec des groupes d'intérêt spécifiques</t>
  </si>
  <si>
    <t xml:space="preserve">Abonnement aux alertes du CERT-FR et participation à un club de RSSI.</t>
  </si>
  <si>
    <t xml:space="preserve">Planifiée</t>
  </si>
  <si>
    <t xml:space="preserve">PSSI §2</t>
  </si>
  <si>
    <t xml:space="preserve">5.7</t>
  </si>
  <si>
    <t xml:space="preserve">Renseignement sur les menaces</t>
  </si>
  <si>
    <t xml:space="preserve">Veille sur les menaces visant les éditeurs SaaS et la fraude au virement, intégrée à l'appréciation des risques.</t>
  </si>
  <si>
    <t xml:space="preserve">R01, R03</t>
  </si>
  <si>
    <t xml:space="preserve">RSK-001</t>
  </si>
  <si>
    <t xml:space="preserve">5.8</t>
  </si>
  <si>
    <t xml:space="preserve">Sécurité de l'information dans la gestion de projet</t>
  </si>
  <si>
    <t xml:space="preserve">Analyse de sécurité au lancement de toute fonctionnalité sensible.</t>
  </si>
  <si>
    <t xml:space="preserve">R03</t>
  </si>
  <si>
    <t xml:space="preserve">PSSI §8</t>
  </si>
  <si>
    <t xml:space="preserve">5.9</t>
  </si>
  <si>
    <t xml:space="preserve">Inventaire des informations et autres actifs associés</t>
  </si>
  <si>
    <t xml:space="preserve">Inventaire des actifs primordiaux et supports, avec leurs propriétaires.</t>
  </si>
  <si>
    <t xml:space="preserve">CTX-004</t>
  </si>
  <si>
    <t xml:space="preserve">5.10</t>
  </si>
  <si>
    <t xml:space="preserve">Utilisation correcte des informations et autres actifs associés</t>
  </si>
  <si>
    <t xml:space="preserve">Charte d'utilisation des moyens informatiques annexée au règlement intérieur.</t>
  </si>
  <si>
    <t xml:space="preserve">R09, R10</t>
  </si>
  <si>
    <t xml:space="preserve">PSSI §6</t>
  </si>
  <si>
    <t xml:space="preserve">5.11</t>
  </si>
  <si>
    <t xml:space="preserve">Restitution des actifs</t>
  </si>
  <si>
    <t xml:space="preserve">Restitution du matériel vérifiée lors de chaque départ.</t>
  </si>
  <si>
    <t xml:space="preserve">R07</t>
  </si>
  <si>
    <t xml:space="preserve">PRC-002</t>
  </si>
  <si>
    <t xml:space="preserve">5.12</t>
  </si>
  <si>
    <t xml:space="preserve">Classification des informations</t>
  </si>
  <si>
    <t xml:space="preserve">Quatre niveaux de classification définis.</t>
  </si>
  <si>
    <t xml:space="preserve">SMSI, LEG</t>
  </si>
  <si>
    <t xml:space="preserve">DOC-001, PSSI §3</t>
  </si>
  <si>
    <t xml:space="preserve">5.13</t>
  </si>
  <si>
    <t xml:space="preserve">Marquage des informations</t>
  </si>
  <si>
    <t xml:space="preserve">Classification indiquée dans l'en-tête de chaque document.</t>
  </si>
  <si>
    <t xml:space="preserve">DOC-001</t>
  </si>
  <si>
    <t xml:space="preserve">5.14</t>
  </si>
  <si>
    <t xml:space="preserve">Transfert des informations</t>
  </si>
  <si>
    <t xml:space="preserve">Échanges avec les clients chiffrés (HTTPS, API authentifiées), règles d'envoi des données sensibles.</t>
  </si>
  <si>
    <t xml:space="preserve">R11, CTR</t>
  </si>
  <si>
    <t xml:space="preserve">PSSI §3</t>
  </si>
  <si>
    <t xml:space="preserve">5.15</t>
  </si>
  <si>
    <t xml:space="preserve">Contrôle d'accès</t>
  </si>
  <si>
    <t xml:space="preserve">Accès fondés sur le besoin d'en connaître et le moindre privilège.</t>
  </si>
  <si>
    <t xml:space="preserve">R06, R07</t>
  </si>
  <si>
    <t xml:space="preserve">PSSI §5, PRC-002</t>
  </si>
  <si>
    <t xml:space="preserve">5.16</t>
  </si>
  <si>
    <t xml:space="preserve">Gestion des identités</t>
  </si>
  <si>
    <t xml:space="preserve">Identité unique par personne, outils raccordés au SSO, cycle de vie des comptes maîtrisé.</t>
  </si>
  <si>
    <t xml:space="preserve">5.17</t>
  </si>
  <si>
    <t xml:space="preserve">Informations d'authentification</t>
  </si>
  <si>
    <t xml:space="preserve">Secrets techniques stockés dans un coffre et renouvelés ; règles de mots de passe.</t>
  </si>
  <si>
    <t xml:space="preserve">R05</t>
  </si>
  <si>
    <t xml:space="preserve">PSSI §5</t>
  </si>
  <si>
    <t xml:space="preserve">5.18</t>
  </si>
  <si>
    <t xml:space="preserve">Droits d'accès</t>
  </si>
  <si>
    <t xml:space="preserve">Droits validés par le manager, revue trimestrielle.</t>
  </si>
  <si>
    <t xml:space="preserve">R02, R07</t>
  </si>
  <si>
    <t xml:space="preserve">5.19</t>
  </si>
  <si>
    <t xml:space="preserve">Sécurité de l'information dans les relations avec les fournisseurs</t>
  </si>
  <si>
    <t xml:space="preserve">Fournisseurs classés par criticité et évalués sur le plan de la sécurité.</t>
  </si>
  <si>
    <t xml:space="preserve">PSSI §9</t>
  </si>
  <si>
    <t xml:space="preserve">5.20</t>
  </si>
  <si>
    <t xml:space="preserve">Sécurité de l'information dans les accords avec les fournisseurs</t>
  </si>
  <si>
    <t xml:space="preserve">Clauses de sécurité, notification des incidents, droit d'audit, réversibilité.</t>
  </si>
  <si>
    <t xml:space="preserve">5.21</t>
  </si>
  <si>
    <t xml:space="preserve">Gestion de la sécurité dans la chaîne d'approvisionnement TIC</t>
  </si>
  <si>
    <t xml:space="preserve">Suivi des composants logiciels tiers et des sous-traitants des fournisseurs critiques (exigence DORA des clients).</t>
  </si>
  <si>
    <t xml:space="preserve">R05, CTR</t>
  </si>
  <si>
    <t xml:space="preserve">5.22</t>
  </si>
  <si>
    <t xml:space="preserve">Surveillance, revue et gestion des changements des services fournisseurs</t>
  </si>
  <si>
    <t xml:space="preserve">Revue annuelle des fournisseurs critiques : certifications, incidents, changements.</t>
  </si>
  <si>
    <t xml:space="preserve">5.23</t>
  </si>
  <si>
    <t xml:space="preserve">Sécurité de l'information dans l'utilisation de services en nuage</t>
  </si>
  <si>
    <t xml:space="preserve">Règles d'utilisation d'AWS, responsabilité partagée, configurations de référence.</t>
  </si>
  <si>
    <t xml:space="preserve">R04, R12</t>
  </si>
  <si>
    <t xml:space="preserve">PSSI §7, §9</t>
  </si>
  <si>
    <t xml:space="preserve">5.24</t>
  </si>
  <si>
    <t xml:space="preserve">Planification et préparation de la gestion des incidents</t>
  </si>
  <si>
    <t xml:space="preserve">Procédure de gestion des incidents : rôles, contacts, grille de gravité.</t>
  </si>
  <si>
    <t xml:space="preserve">R02, LEG, CTR</t>
  </si>
  <si>
    <t xml:space="preserve">5.25</t>
  </si>
  <si>
    <t xml:space="preserve">Appréciation des événements et prise de décision</t>
  </si>
  <si>
    <t xml:space="preserve">Qualification de chaque événement selon une grille de gravité.</t>
  </si>
  <si>
    <t xml:space="preserve">R02, CTR</t>
  </si>
  <si>
    <t xml:space="preserve">5.26</t>
  </si>
  <si>
    <t xml:space="preserve">Réponse aux incidents de sécurité de l'information</t>
  </si>
  <si>
    <t xml:space="preserve">Réponse documentée, notification des clients dans les délais contractuels.</t>
  </si>
  <si>
    <t xml:space="preserve">R02</t>
  </si>
  <si>
    <t xml:space="preserve">5.27</t>
  </si>
  <si>
    <t xml:space="preserve">Tirer des enseignements des incidents</t>
  </si>
  <si>
    <t xml:space="preserve">Retour d'expérience après chaque incident significatif.</t>
  </si>
  <si>
    <t xml:space="preserve">5.28</t>
  </si>
  <si>
    <t xml:space="preserve">Recueil de preuves</t>
  </si>
  <si>
    <t xml:space="preserve">Conservation des journaux et des preuves en cas de fraude ou de dépôt de plainte.</t>
  </si>
  <si>
    <t xml:space="preserve">5.29</t>
  </si>
  <si>
    <t xml:space="preserve">Sécurité de l'information durant une perturbation</t>
  </si>
  <si>
    <t xml:space="preserve">Maintien des mesures de sécurité en mode dégradé.</t>
  </si>
  <si>
    <t xml:space="preserve">R08</t>
  </si>
  <si>
    <t xml:space="preserve">PSSI §11</t>
  </si>
  <si>
    <t xml:space="preserve">5.30</t>
  </si>
  <si>
    <t xml:space="preserve">Préparation des TIC pour la continuité d'activité</t>
  </si>
  <si>
    <t xml:space="preserve">Objectifs de reprise fixés (4 h, perte d'une heure au plus), plan de reprise testé chaque année.</t>
  </si>
  <si>
    <t xml:space="preserve">5.31</t>
  </si>
  <si>
    <t xml:space="preserve">Exigences légales, statutaires, réglementaires et contractuelles</t>
  </si>
  <si>
    <t xml:space="preserve">Exigences recensées : RGPD, clauses DORA des clients, veille NIS2.</t>
  </si>
  <si>
    <t xml:space="preserve">LEG, CTR</t>
  </si>
  <si>
    <t xml:space="preserve">CTX-002</t>
  </si>
  <si>
    <t xml:space="preserve">5.32</t>
  </si>
  <si>
    <t xml:space="preserve">Droits de propriété intellectuelle</t>
  </si>
  <si>
    <t xml:space="preserve">Licences logicielles et composants open source suivis.</t>
  </si>
  <si>
    <t xml:space="preserve">PSSI §12</t>
  </si>
  <si>
    <t xml:space="preserve">5.33</t>
  </si>
  <si>
    <t xml:space="preserve">Protection des enregistrements</t>
  </si>
  <si>
    <t xml:space="preserve">Enregistrements protégés et conservés au moins trois ans.</t>
  </si>
  <si>
    <t xml:space="preserve">LEG, SMSI</t>
  </si>
  <si>
    <t xml:space="preserve">5.34</t>
  </si>
  <si>
    <t xml:space="preserve">Protection de la vie privée et des données à caractère personnel</t>
  </si>
  <si>
    <t xml:space="preserve">DPO, registre des traitements, accords de sous-traitance, analyses d'impact.</t>
  </si>
  <si>
    <t xml:space="preserve">5.35</t>
  </si>
  <si>
    <t xml:space="preserve">Revue indépendante de la sécurité de l'information</t>
  </si>
  <si>
    <t xml:space="preserve">Audit interne annuel confié à un prestataire externe.</t>
  </si>
  <si>
    <t xml:space="preserve">5.36</t>
  </si>
  <si>
    <t xml:space="preserve">Conformité aux politiques, règles et normes de sécurité</t>
  </si>
  <si>
    <t xml:space="preserve">Contrôles de conformité par les managers et la RSSI, suivis en comité de sécurité.</t>
  </si>
  <si>
    <t xml:space="preserve">PIL-001</t>
  </si>
  <si>
    <t xml:space="preserve">5.37</t>
  </si>
  <si>
    <t xml:space="preserve">Procédures d'exploitation documentées</t>
  </si>
  <si>
    <t xml:space="preserve">Procédures de déploiement, de sauvegarde et de restauration documentées.</t>
  </si>
  <si>
    <t xml:space="preserve">PSSI §7</t>
  </si>
  <si>
    <t xml:space="preserve">A.6 — Mesures liées aux personnes</t>
  </si>
  <si>
    <t xml:space="preserve">6.1</t>
  </si>
  <si>
    <t xml:space="preserve">Liées aux personnes</t>
  </si>
  <si>
    <t xml:space="preserve">Sélection des candidats</t>
  </si>
  <si>
    <t xml:space="preserve">Vérifications proportionnées au poste, dans le respect du droit du travail.</t>
  </si>
  <si>
    <t xml:space="preserve">PSSI §4</t>
  </si>
  <si>
    <t xml:space="preserve">6.2</t>
  </si>
  <si>
    <t xml:space="preserve">Termes et conditions du contrat de travail</t>
  </si>
  <si>
    <t xml:space="preserve">Clauses de sécurité et de confidentialité dans les contrats de travail.</t>
  </si>
  <si>
    <t xml:space="preserve">6.3</t>
  </si>
  <si>
    <t xml:space="preserve">Sensibilisation, enseignement et formation</t>
  </si>
  <si>
    <t xml:space="preserve">Sensibilisation à l'arrivée et annuelle, hameçonnage simulé, formation des développeurs.</t>
  </si>
  <si>
    <t xml:space="preserve">R09</t>
  </si>
  <si>
    <t xml:space="preserve">6.4</t>
  </si>
  <si>
    <t xml:space="preserve">Processus disciplinaire</t>
  </si>
  <si>
    <t xml:space="preserve">Sanctions prévues au règlement intérieur.</t>
  </si>
  <si>
    <t xml:space="preserve">6.5</t>
  </si>
  <si>
    <t xml:space="preserve">Responsabilités après la fin ou la modification du contrat</t>
  </si>
  <si>
    <t xml:space="preserve">Rappel des obligations de confidentialité et retrait des accès au départ.</t>
  </si>
  <si>
    <t xml:space="preserve">6.6</t>
  </si>
  <si>
    <t xml:space="preserve">Engagements de confidentialité ou de non-divulgation</t>
  </si>
  <si>
    <t xml:space="preserve">Engagements de confidentialité signés par les salariés et les prestataires.</t>
  </si>
  <si>
    <t xml:space="preserve">R06, CTR</t>
  </si>
  <si>
    <t xml:space="preserve">6.7</t>
  </si>
  <si>
    <t xml:space="preserve">Travail à distance</t>
  </si>
  <si>
    <t xml:space="preserve">Règles de télétravail : réseau, confidentialité, poste géré.</t>
  </si>
  <si>
    <t xml:space="preserve">R10</t>
  </si>
  <si>
    <t xml:space="preserve">6.8</t>
  </si>
  <si>
    <t xml:space="preserve">Déclaration des événements de sécurité de l'information</t>
  </si>
  <si>
    <t xml:space="preserve">Canal de signalement unique et simple, connu de tous les salariés.</t>
  </si>
  <si>
    <t xml:space="preserve">A.7 — Mesures physiques</t>
  </si>
  <si>
    <t xml:space="preserve">7.1</t>
  </si>
  <si>
    <t xml:space="preserve">Physiques</t>
  </si>
  <si>
    <t xml:space="preserve">Périmètres de sécurité physique</t>
  </si>
  <si>
    <t xml:space="preserve">Bureaux situés dans un immeuble à accès contrôlé.</t>
  </si>
  <si>
    <t xml:space="preserve">7.2</t>
  </si>
  <si>
    <t xml:space="preserve">Entrées physiques</t>
  </si>
  <si>
    <t xml:space="preserve">Accès par badge nominatif, visiteurs enregistrés et accompagnés.</t>
  </si>
  <si>
    <t xml:space="preserve">7.3</t>
  </si>
  <si>
    <t xml:space="preserve">Sécurisation des bureaux, des salles et des installations</t>
  </si>
  <si>
    <t xml:space="preserve">Bureaux fermés à clé en dehors des heures ouvrées.</t>
  </si>
  <si>
    <t xml:space="preserve">7.4</t>
  </si>
  <si>
    <t xml:space="preserve">Surveillance de la sécurité physique</t>
  </si>
  <si>
    <t xml:space="preserve">Vidéosurveillance et alarme de l'immeuble gérées par le bailleur.</t>
  </si>
  <si>
    <t xml:space="preserve">7.5</t>
  </si>
  <si>
    <t xml:space="preserve">Protection contre les menaces physiques et environnementales</t>
  </si>
  <si>
    <t xml:space="preserve">Indisponibilité des locaux (crue, canicule) couverte par le télétravail.</t>
  </si>
  <si>
    <t xml:space="preserve">7.6</t>
  </si>
  <si>
    <t xml:space="preserve">Travail dans les zones sécurisées</t>
  </si>
  <si>
    <t xml:space="preserve">Non</t>
  </si>
  <si>
    <t xml:space="preserve">Aucune zone sécurisée dans les locaux : aucun équipement de production n'y est hébergé. La sécurité physique des centres de données relève d'AWS et est maîtrisée par les mesures 5.19 à 5.23.</t>
  </si>
  <si>
    <t xml:space="preserve">Non applicable</t>
  </si>
  <si>
    <t xml:space="preserve">7.7</t>
  </si>
  <si>
    <t xml:space="preserve">Bureau propre et écran vide</t>
  </si>
  <si>
    <t xml:space="preserve">Verrouillage automatique des sessions, aucun document sensible laissé sur les bureaux.</t>
  </si>
  <si>
    <t xml:space="preserve">7.8</t>
  </si>
  <si>
    <t xml:space="preserve">Emplacement et protection du matériel</t>
  </si>
  <si>
    <t xml:space="preserve">Équipement réseau des bureaux dans une baie fermée à clé.</t>
  </si>
  <si>
    <t xml:space="preserve">7.9</t>
  </si>
  <si>
    <t xml:space="preserve">Sécurité des actifs hors des locaux</t>
  </si>
  <si>
    <t xml:space="preserve">Règles de protection des appareils en déplacement, déclaration de perte sous 24 h.</t>
  </si>
  <si>
    <t xml:space="preserve">7.10</t>
  </si>
  <si>
    <t xml:space="preserve">Supports de stockage</t>
  </si>
  <si>
    <t xml:space="preserve">Supports amovibles déconseillés, chiffrés lorsqu'ils sont indispensables.</t>
  </si>
  <si>
    <t xml:space="preserve">7.11</t>
  </si>
  <si>
    <t xml:space="preserve">Services supports</t>
  </si>
  <si>
    <t xml:space="preserve">Connexion Internet de secours pour les bureaux ; la plateforme n'en dépend pas.</t>
  </si>
  <si>
    <t xml:space="preserve">7.12</t>
  </si>
  <si>
    <t xml:space="preserve">Sécurité du câblage</t>
  </si>
  <si>
    <t xml:space="preserve">Câblage de l'immeuble géré par le bailleur ; les locaux n'hébergent que des postes de travail et aucun flux de production n'y transite.</t>
  </si>
  <si>
    <t xml:space="preserve">7.13</t>
  </si>
  <si>
    <t xml:space="preserve">Maintenance du matériel</t>
  </si>
  <si>
    <t xml:space="preserve">Maintenance des portables par le fournisseur, après effacement ou sous contrôle.</t>
  </si>
  <si>
    <t xml:space="preserve">7.14</t>
  </si>
  <si>
    <t xml:space="preserve">Élimination ou recyclage sécurisé du matériel</t>
  </si>
  <si>
    <t xml:space="preserve">Effacement certifié des disques avant recyclage ou réattribution.</t>
  </si>
  <si>
    <t xml:space="preserve">A.8 — Mesures technologiques</t>
  </si>
  <si>
    <t xml:space="preserve">8.1</t>
  </si>
  <si>
    <t xml:space="preserve">Technologiques</t>
  </si>
  <si>
    <t xml:space="preserve">Terminaux des utilisateurs</t>
  </si>
  <si>
    <t xml:space="preserve">Gestion centralisée des portables et accès mobile via un profil professionnel protégé.</t>
  </si>
  <si>
    <t xml:space="preserve">8.2</t>
  </si>
  <si>
    <t xml:space="preserve">Droits d'accès privilégiés</t>
  </si>
  <si>
    <t xml:space="preserve">Deux administrateurs permanents, élévation temporaire sur demande, clés de sécurité physiques.</t>
  </si>
  <si>
    <t xml:space="preserve">8.3</t>
  </si>
  <si>
    <t xml:space="preserve">Restriction d'accès aux informations</t>
  </si>
  <si>
    <t xml:space="preserve">Accès du support limité aux clients ayant ouvert une demande.</t>
  </si>
  <si>
    <t xml:space="preserve">R06</t>
  </si>
  <si>
    <t xml:space="preserve">8.4</t>
  </si>
  <si>
    <t xml:space="preserve">Accès au code source</t>
  </si>
  <si>
    <t xml:space="preserve">Accès GitHub selon le besoin, authentification multifacteur obligatoire, branches protégées.</t>
  </si>
  <si>
    <t xml:space="preserve">8.5</t>
  </si>
  <si>
    <t xml:space="preserve">Authentification sécurisée</t>
  </si>
  <si>
    <t xml:space="preserve">Authentification multifacteur pour tous les salariés, obligatoire pour les rôles sensibles des clients, résistante à l'hameçonnage pour les administrateurs.</t>
  </si>
  <si>
    <t xml:space="preserve">R01, R02</t>
  </si>
  <si>
    <t xml:space="preserve">8.6</t>
  </si>
  <si>
    <t xml:space="preserve">Dimensionnement</t>
  </si>
  <si>
    <t xml:space="preserve">Mise à l'échelle automatique et suivi de la capacité, notamment pendant les clôtures.</t>
  </si>
  <si>
    <t xml:space="preserve">8.7</t>
  </si>
  <si>
    <t xml:space="preserve">Protection contre les programmes malveillants</t>
  </si>
  <si>
    <t xml:space="preserve">Protection des postes et analyse des justificatifs téléversés.</t>
  </si>
  <si>
    <t xml:space="preserve">R02, R09</t>
  </si>
  <si>
    <t xml:space="preserve">8.8</t>
  </si>
  <si>
    <t xml:space="preserve">Gestion des vulnérabilités techniques</t>
  </si>
  <si>
    <t xml:space="preserve">Correction selon des délais par criticité, suivi des vulnérabilités du test d'intrusion.</t>
  </si>
  <si>
    <t xml:space="preserve">8.9</t>
  </si>
  <si>
    <t xml:space="preserve">Gestion des configurations</t>
  </si>
  <si>
    <t xml:space="preserve">Infrastructure décrite en code, configurations de référence, contrôle automatique.</t>
  </si>
  <si>
    <t xml:space="preserve">R04</t>
  </si>
  <si>
    <t xml:space="preserve">8.10</t>
  </si>
  <si>
    <t xml:space="preserve">Suppression des informations</t>
  </si>
  <si>
    <t xml:space="preserve">Suppression des données des clients en fin de contrat selon les durées convenues.</t>
  </si>
  <si>
    <t xml:space="preserve">8.11</t>
  </si>
  <si>
    <t xml:space="preserve">Masquage des données</t>
  </si>
  <si>
    <t xml:space="preserve">IBAN masqués dans le back-office et dans les environnements de test.</t>
  </si>
  <si>
    <t xml:space="preserve">8.12</t>
  </si>
  <si>
    <t xml:space="preserve">Prévention de la fuite de données</t>
  </si>
  <si>
    <t xml:space="preserve">Détection des exports massifs et des données sensibles copiées dans les tickets.</t>
  </si>
  <si>
    <t xml:space="preserve">R03, R11</t>
  </si>
  <si>
    <t xml:space="preserve">8.13</t>
  </si>
  <si>
    <t xml:space="preserve">Sauvegarde des informations</t>
  </si>
  <si>
    <t xml:space="preserve">Sauvegardes chiffrées et immuables dans un compte séparé, restauration testée chaque trimestre.</t>
  </si>
  <si>
    <t xml:space="preserve">R02, R08</t>
  </si>
  <si>
    <t xml:space="preserve">8.14</t>
  </si>
  <si>
    <t xml:space="preserve">Redondance des moyens de traitement de l'information</t>
  </si>
  <si>
    <t xml:space="preserve">Plateforme répartie sur plusieurs zones de disponibilité AWS.</t>
  </si>
  <si>
    <t xml:space="preserve">8.15</t>
  </si>
  <si>
    <t xml:space="preserve">Journalisation</t>
  </si>
  <si>
    <t xml:space="preserve">Journaux applicatifs et d'infrastructure centralisés, protégés et conservés un an.</t>
  </si>
  <si>
    <t xml:space="preserve">R01, R06</t>
  </si>
  <si>
    <t xml:space="preserve">8.16</t>
  </si>
  <si>
    <t xml:space="preserve">Activités de surveillance</t>
  </si>
  <si>
    <t xml:space="preserve">Détection des comportements anormaux et alertes sur les actions sensibles.</t>
  </si>
  <si>
    <t xml:space="preserve">R01, R02, R04</t>
  </si>
  <si>
    <t xml:space="preserve">8.17</t>
  </si>
  <si>
    <t xml:space="preserve">Synchronisation des horloges</t>
  </si>
  <si>
    <t xml:space="preserve">Services synchronisés sur une source de temps de référence.</t>
  </si>
  <si>
    <t xml:space="preserve">8.18</t>
  </si>
  <si>
    <t xml:space="preserve">Utilisation de programmes utilitaires à privilèges</t>
  </si>
  <si>
    <t xml:space="preserve">Outils d'administration réservés aux administrateurs et journalisés.</t>
  </si>
  <si>
    <t xml:space="preserve">8.19</t>
  </si>
  <si>
    <t xml:space="preserve">Installation de logiciels sur des systèmes en exploitation</t>
  </si>
  <si>
    <t xml:space="preserve">Déploiement en production uniquement par la chaîne CI/CD.</t>
  </si>
  <si>
    <t xml:space="preserve">8.20</t>
  </si>
  <si>
    <t xml:space="preserve">Sécurité des réseaux</t>
  </si>
  <si>
    <t xml:space="preserve">Réseaux privés AWS, règles de filtrage restrictives, bases de données non exposées à Internet.</t>
  </si>
  <si>
    <t xml:space="preserve">8.21</t>
  </si>
  <si>
    <t xml:space="preserve">Sécurité des services réseau</t>
  </si>
  <si>
    <t xml:space="preserve">Chiffrement TLS, pare-feu applicatif, protection contre le déni de service.</t>
  </si>
  <si>
    <t xml:space="preserve">8.22</t>
  </si>
  <si>
    <t xml:space="preserve">Cloisonnement des réseaux</t>
  </si>
  <si>
    <t xml:space="preserve">Production, hors production et administration séparées dans des comptes et réseaux distincts.</t>
  </si>
  <si>
    <t xml:space="preserve">R02, R04</t>
  </si>
  <si>
    <t xml:space="preserve">8.23</t>
  </si>
  <si>
    <t xml:space="preserve">Filtrage web</t>
  </si>
  <si>
    <t xml:space="preserve">Filtrage des sites malveillants sur les postes gérés.</t>
  </si>
  <si>
    <t xml:space="preserve">8.24</t>
  </si>
  <si>
    <t xml:space="preserve">Utilisation de la cryptographie</t>
  </si>
  <si>
    <t xml:space="preserve">Chiffrement au repos et en transit, clés gérées par le service AWS dédié.</t>
  </si>
  <si>
    <t xml:space="preserve">LEG, CTR, R12</t>
  </si>
  <si>
    <t xml:space="preserve">8.25</t>
  </si>
  <si>
    <t xml:space="preserve">Cycle de vie de développement sécurisé</t>
  </si>
  <si>
    <t xml:space="preserve">Sécurité intégrée à chaque étape du développement.</t>
  </si>
  <si>
    <t xml:space="preserve">R03, R05</t>
  </si>
  <si>
    <t xml:space="preserve">8.26</t>
  </si>
  <si>
    <t xml:space="preserve">Exigences de sécurité des applications</t>
  </si>
  <si>
    <t xml:space="preserve">Double validation et notification des changements d'IBAN, réauthentification pour les actions sensibles.</t>
  </si>
  <si>
    <t xml:space="preserve">R01</t>
  </si>
  <si>
    <t xml:space="preserve">8.27</t>
  </si>
  <si>
    <t xml:space="preserve">Principes d'ingénierie et d'architecture des systèmes sécurisés</t>
  </si>
  <si>
    <t xml:space="preserve">Défense en profondeur et cloisonnement strict des données entre clients.</t>
  </si>
  <si>
    <t xml:space="preserve">8.28</t>
  </si>
  <si>
    <t xml:space="preserve">Codage sécurisé</t>
  </si>
  <si>
    <t xml:space="preserve">Règles de codage fondées sur l'OWASP, contrôle des dépendances, formation des développeurs.</t>
  </si>
  <si>
    <t xml:space="preserve">8.29</t>
  </si>
  <si>
    <t xml:space="preserve">Tests de sécurité dans le développement et l'acceptation</t>
  </si>
  <si>
    <t xml:space="preserve">Analyse du code et des dépendances dans la CI, test d'intrusion annuel.</t>
  </si>
  <si>
    <t xml:space="preserve">8.30</t>
  </si>
  <si>
    <t xml:space="preserve">Développement externalisé</t>
  </si>
  <si>
    <t xml:space="preserve">NotAge ne sous-traite aucun développement. Mesure à réévaluer en cas de recours à un prestataire.</t>
  </si>
  <si>
    <t xml:space="preserve">8.31</t>
  </si>
  <si>
    <t xml:space="preserve">Séparation des environnements de développement, de test et de production</t>
  </si>
  <si>
    <t xml:space="preserve">Comptes AWS distincts pour la production et la recette.</t>
  </si>
  <si>
    <t xml:space="preserve">R04, R06</t>
  </si>
  <si>
    <t xml:space="preserve">8.32</t>
  </si>
  <si>
    <t xml:space="preserve">Gestion des changements</t>
  </si>
  <si>
    <t xml:space="preserve">Changements validés et tracés, plan de retour arrière, gel pendant les clôtures.</t>
  </si>
  <si>
    <t xml:space="preserve">R05, R08</t>
  </si>
  <si>
    <t xml:space="preserve">8.33</t>
  </si>
  <si>
    <t xml:space="preserve">Informations de test</t>
  </si>
  <si>
    <t xml:space="preserve">Aucune donnée de production en test sans anonymisation.</t>
  </si>
  <si>
    <t xml:space="preserve">8.34</t>
  </si>
  <si>
    <t xml:space="preserve">Protection des systèmes d'information pendant les tests d'audit</t>
  </si>
  <si>
    <t xml:space="preserve">Tests d'intrusion encadrés par une convention et planifiés hors des périodes de clôture.</t>
  </si>
  <si>
    <t xml:space="preserve">Synthèse de la déclaration d'applicabilité</t>
  </si>
  <si>
    <t xml:space="preserve">Mesures</t>
  </si>
  <si>
    <t xml:space="preserve">Applicables</t>
  </si>
  <si>
    <t xml:space="preserve">Exclues</t>
  </si>
  <si>
    <t xml:space="preserve">Partielles</t>
  </si>
  <si>
    <t xml:space="preserve">Planifiées</t>
  </si>
  <si>
    <t xml:space="preserve">Prioritaires</t>
  </si>
  <si>
    <t xml:space="preserve">A.5 Organisationnelles</t>
  </si>
  <si>
    <t xml:space="preserve">A.6 Liées aux personnes</t>
  </si>
  <si>
    <t xml:space="preserve">A.7 Physiques</t>
  </si>
  <si>
    <t xml:space="preserve">A.8 Technologiques</t>
  </si>
  <si>
    <t xml:space="preserve">Total</t>
  </si>
  <si>
    <t xml:space="preserve">Taux de mise en œuvre des mesures applicables</t>
  </si>
  <si>
    <t xml:space="preserve">Mise en œuvre + partielles</t>
  </si>
  <si>
    <t xml:space="preserve">Lecture : les 28 mesures prioritaires sont celles du plan de traitement des 12 scénarios de risque ; les autres mesures applicables relèvent des exigences légales, contractuelles ou du fonctionnement du SMSI.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</si>
</sst>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EAF1F8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1F3A5F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E7E6E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DDEBF7"/>
      <rgbColor rgb="FF660066"/>
      <rgbColor rgb="FFFF8080"/>
      <rgbColor rgb="FF0066CC"/>
      <rgbColor rgb="FFC9D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8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C57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2" customFormat="false" ht="15" hidden="false" customHeight="false" outlineLevel="0" collapsed="false">
      <c r="A12" s="4" t="s">
        <v>17</v>
      </c>
    </row>
    <row r="13" customFormat="false" ht="30" hidden="false" customHeight="true" outlineLevel="0" collapsed="false">
      <c r="A13" s="2" t="s">
        <v>18</v>
      </c>
      <c r="B13" s="5" t="s">
        <v>19</v>
      </c>
    </row>
    <row r="14" customFormat="false" ht="30" hidden="false" customHeight="true" outlineLevel="0" collapsed="false">
      <c r="A14" s="2" t="s">
        <v>20</v>
      </c>
      <c r="B14" s="5" t="s">
        <v>21</v>
      </c>
    </row>
    <row r="15" customFormat="false" ht="30" hidden="false" customHeight="true" outlineLevel="0" collapsed="false">
      <c r="A15" s="2" t="s">
        <v>22</v>
      </c>
      <c r="B15" s="5" t="s">
        <v>23</v>
      </c>
    </row>
    <row r="16" customFormat="false" ht="30" hidden="false" customHeight="true" outlineLevel="0" collapsed="false">
      <c r="A16" s="2" t="s">
        <v>24</v>
      </c>
      <c r="B16" s="5" t="s">
        <v>25</v>
      </c>
    </row>
    <row r="17" customFormat="false" ht="30" hidden="false" customHeight="true" outlineLevel="0" collapsed="false">
      <c r="A17" s="2" t="s">
        <v>1</v>
      </c>
      <c r="B17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62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6"/>
  </cols>
  <sheetData>
    <row r="1" customFormat="false" ht="16.15" hidden="false" customHeight="false" outlineLevel="0" collapsed="false">
      <c r="A1" s="6" t="s">
        <v>27</v>
      </c>
    </row>
    <row r="2" customFormat="false" ht="15" hidden="false" customHeight="false" outlineLevel="0" collapsed="false">
      <c r="A2" s="7" t="s">
        <v>28</v>
      </c>
    </row>
    <row r="4" customFormat="false" ht="30" hidden="false" customHeight="true" outlineLevel="0" collapsed="false">
      <c r="A4" s="8" t="s">
        <v>29</v>
      </c>
      <c r="B4" s="8" t="s">
        <v>30</v>
      </c>
      <c r="C4" s="8" t="s">
        <v>31</v>
      </c>
      <c r="D4" s="8" t="s">
        <v>18</v>
      </c>
      <c r="E4" s="8" t="s">
        <v>32</v>
      </c>
      <c r="F4" s="8" t="s">
        <v>20</v>
      </c>
      <c r="G4" s="8" t="s">
        <v>22</v>
      </c>
      <c r="H4" s="8" t="s">
        <v>33</v>
      </c>
      <c r="I4" s="8" t="s">
        <v>1</v>
      </c>
    </row>
    <row r="5" customFormat="false" ht="15" hidden="false" customHeight="false" outlineLevel="0" collapsed="false">
      <c r="A5" s="9" t="s">
        <v>34</v>
      </c>
      <c r="B5" s="9"/>
      <c r="C5" s="9"/>
      <c r="D5" s="9"/>
      <c r="E5" s="9"/>
      <c r="F5" s="9"/>
      <c r="G5" s="9"/>
      <c r="H5" s="9"/>
      <c r="I5" s="9"/>
    </row>
    <row r="6" customFormat="false" ht="30" hidden="false" customHeight="true" outlineLevel="0" collapsed="false">
      <c r="A6" s="10" t="s">
        <v>35</v>
      </c>
      <c r="B6" s="11" t="s">
        <v>36</v>
      </c>
      <c r="C6" s="11" t="s">
        <v>37</v>
      </c>
      <c r="D6" s="12" t="s">
        <v>38</v>
      </c>
      <c r="E6" s="11" t="s">
        <v>39</v>
      </c>
      <c r="F6" s="12" t="s">
        <v>40</v>
      </c>
      <c r="G6" s="12" t="s">
        <v>41</v>
      </c>
      <c r="H6" s="12" t="s">
        <v>42</v>
      </c>
      <c r="I6" s="11" t="s">
        <v>43</v>
      </c>
    </row>
    <row r="7" customFormat="false" ht="30" hidden="false" customHeight="true" outlineLevel="0" collapsed="false">
      <c r="A7" s="10" t="s">
        <v>44</v>
      </c>
      <c r="B7" s="11" t="s">
        <v>36</v>
      </c>
      <c r="C7" s="11" t="s">
        <v>45</v>
      </c>
      <c r="D7" s="12" t="s">
        <v>38</v>
      </c>
      <c r="E7" s="11" t="s">
        <v>46</v>
      </c>
      <c r="F7" s="12" t="s">
        <v>40</v>
      </c>
      <c r="G7" s="12" t="s">
        <v>41</v>
      </c>
      <c r="H7" s="12" t="s">
        <v>42</v>
      </c>
      <c r="I7" s="11" t="s">
        <v>47</v>
      </c>
    </row>
    <row r="8" customFormat="false" ht="30" hidden="false" customHeight="true" outlineLevel="0" collapsed="false">
      <c r="A8" s="10" t="s">
        <v>48</v>
      </c>
      <c r="B8" s="11" t="s">
        <v>36</v>
      </c>
      <c r="C8" s="11" t="s">
        <v>49</v>
      </c>
      <c r="D8" s="12" t="s">
        <v>38</v>
      </c>
      <c r="E8" s="11" t="s">
        <v>50</v>
      </c>
      <c r="F8" s="12" t="s">
        <v>51</v>
      </c>
      <c r="G8" s="12" t="s">
        <v>41</v>
      </c>
      <c r="H8" s="12" t="s">
        <v>52</v>
      </c>
      <c r="I8" s="11" t="s">
        <v>53</v>
      </c>
    </row>
    <row r="9" customFormat="false" ht="30" hidden="false" customHeight="true" outlineLevel="0" collapsed="false">
      <c r="A9" s="10" t="s">
        <v>54</v>
      </c>
      <c r="B9" s="11" t="s">
        <v>36</v>
      </c>
      <c r="C9" s="11" t="s">
        <v>55</v>
      </c>
      <c r="D9" s="12" t="s">
        <v>38</v>
      </c>
      <c r="E9" s="11" t="s">
        <v>56</v>
      </c>
      <c r="F9" s="12" t="s">
        <v>40</v>
      </c>
      <c r="G9" s="12" t="s">
        <v>41</v>
      </c>
      <c r="H9" s="12" t="s">
        <v>42</v>
      </c>
      <c r="I9" s="11" t="s">
        <v>57</v>
      </c>
    </row>
    <row r="10" customFormat="false" ht="42" hidden="false" customHeight="true" outlineLevel="0" collapsed="false">
      <c r="A10" s="10" t="s">
        <v>58</v>
      </c>
      <c r="B10" s="11" t="s">
        <v>36</v>
      </c>
      <c r="C10" s="11" t="s">
        <v>59</v>
      </c>
      <c r="D10" s="12" t="s">
        <v>38</v>
      </c>
      <c r="E10" s="11" t="s">
        <v>60</v>
      </c>
      <c r="F10" s="12" t="s">
        <v>61</v>
      </c>
      <c r="G10" s="12" t="s">
        <v>41</v>
      </c>
      <c r="H10" s="12" t="s">
        <v>52</v>
      </c>
      <c r="I10" s="11" t="s">
        <v>62</v>
      </c>
    </row>
    <row r="11" customFormat="false" ht="30" hidden="false" customHeight="true" outlineLevel="0" collapsed="false">
      <c r="A11" s="10" t="s">
        <v>63</v>
      </c>
      <c r="B11" s="11" t="s">
        <v>36</v>
      </c>
      <c r="C11" s="11" t="s">
        <v>64</v>
      </c>
      <c r="D11" s="12" t="s">
        <v>38</v>
      </c>
      <c r="E11" s="11" t="s">
        <v>65</v>
      </c>
      <c r="F11" s="12" t="s">
        <v>40</v>
      </c>
      <c r="G11" s="12" t="s">
        <v>41</v>
      </c>
      <c r="H11" s="12" t="s">
        <v>66</v>
      </c>
      <c r="I11" s="11" t="s">
        <v>67</v>
      </c>
    </row>
    <row r="12" customFormat="false" ht="42" hidden="false" customHeight="true" outlineLevel="0" collapsed="false">
      <c r="A12" s="10" t="s">
        <v>68</v>
      </c>
      <c r="B12" s="11" t="s">
        <v>36</v>
      </c>
      <c r="C12" s="11" t="s">
        <v>69</v>
      </c>
      <c r="D12" s="12" t="s">
        <v>38</v>
      </c>
      <c r="E12" s="11" t="s">
        <v>70</v>
      </c>
      <c r="F12" s="12" t="s">
        <v>71</v>
      </c>
      <c r="G12" s="12" t="s">
        <v>41</v>
      </c>
      <c r="H12" s="12" t="s">
        <v>66</v>
      </c>
      <c r="I12" s="11" t="s">
        <v>72</v>
      </c>
    </row>
    <row r="13" customFormat="false" ht="30" hidden="false" customHeight="true" outlineLevel="0" collapsed="false">
      <c r="A13" s="10" t="s">
        <v>73</v>
      </c>
      <c r="B13" s="11" t="s">
        <v>36</v>
      </c>
      <c r="C13" s="11" t="s">
        <v>74</v>
      </c>
      <c r="D13" s="12" t="s">
        <v>38</v>
      </c>
      <c r="E13" s="11" t="s">
        <v>75</v>
      </c>
      <c r="F13" s="12" t="s">
        <v>76</v>
      </c>
      <c r="G13" s="12" t="s">
        <v>41</v>
      </c>
      <c r="H13" s="12" t="s">
        <v>66</v>
      </c>
      <c r="I13" s="11" t="s">
        <v>77</v>
      </c>
    </row>
    <row r="14" customFormat="false" ht="30" hidden="false" customHeight="true" outlineLevel="0" collapsed="false">
      <c r="A14" s="10" t="s">
        <v>78</v>
      </c>
      <c r="B14" s="11" t="s">
        <v>36</v>
      </c>
      <c r="C14" s="11" t="s">
        <v>79</v>
      </c>
      <c r="D14" s="12" t="s">
        <v>38</v>
      </c>
      <c r="E14" s="11" t="s">
        <v>80</v>
      </c>
      <c r="F14" s="12" t="s">
        <v>40</v>
      </c>
      <c r="G14" s="12" t="s">
        <v>41</v>
      </c>
      <c r="H14" s="12" t="s">
        <v>42</v>
      </c>
      <c r="I14" s="11" t="s">
        <v>81</v>
      </c>
    </row>
    <row r="15" customFormat="false" ht="30" hidden="false" customHeight="true" outlineLevel="0" collapsed="false">
      <c r="A15" s="10" t="s">
        <v>82</v>
      </c>
      <c r="B15" s="11" t="s">
        <v>36</v>
      </c>
      <c r="C15" s="11" t="s">
        <v>83</v>
      </c>
      <c r="D15" s="12" t="s">
        <v>38</v>
      </c>
      <c r="E15" s="11" t="s">
        <v>84</v>
      </c>
      <c r="F15" s="12" t="s">
        <v>85</v>
      </c>
      <c r="G15" s="12" t="s">
        <v>41</v>
      </c>
      <c r="H15" s="12" t="s">
        <v>66</v>
      </c>
      <c r="I15" s="11" t="s">
        <v>86</v>
      </c>
    </row>
    <row r="16" customFormat="false" ht="30" hidden="false" customHeight="true" outlineLevel="0" collapsed="false">
      <c r="A16" s="10" t="s">
        <v>87</v>
      </c>
      <c r="B16" s="11" t="s">
        <v>36</v>
      </c>
      <c r="C16" s="11" t="s">
        <v>88</v>
      </c>
      <c r="D16" s="12" t="s">
        <v>38</v>
      </c>
      <c r="E16" s="11" t="s">
        <v>89</v>
      </c>
      <c r="F16" s="12" t="s">
        <v>90</v>
      </c>
      <c r="G16" s="12" t="s">
        <v>41</v>
      </c>
      <c r="H16" s="12" t="s">
        <v>52</v>
      </c>
      <c r="I16" s="11" t="s">
        <v>91</v>
      </c>
    </row>
    <row r="17" customFormat="false" ht="30" hidden="false" customHeight="true" outlineLevel="0" collapsed="false">
      <c r="A17" s="10" t="s">
        <v>92</v>
      </c>
      <c r="B17" s="11" t="s">
        <v>36</v>
      </c>
      <c r="C17" s="11" t="s">
        <v>93</v>
      </c>
      <c r="D17" s="12" t="s">
        <v>38</v>
      </c>
      <c r="E17" s="11" t="s">
        <v>94</v>
      </c>
      <c r="F17" s="12" t="s">
        <v>95</v>
      </c>
      <c r="G17" s="12" t="s">
        <v>41</v>
      </c>
      <c r="H17" s="12" t="s">
        <v>42</v>
      </c>
      <c r="I17" s="11" t="s">
        <v>96</v>
      </c>
    </row>
    <row r="18" customFormat="false" ht="30" hidden="false" customHeight="true" outlineLevel="0" collapsed="false">
      <c r="A18" s="10" t="s">
        <v>97</v>
      </c>
      <c r="B18" s="11" t="s">
        <v>36</v>
      </c>
      <c r="C18" s="11" t="s">
        <v>98</v>
      </c>
      <c r="D18" s="12" t="s">
        <v>38</v>
      </c>
      <c r="E18" s="11" t="s">
        <v>99</v>
      </c>
      <c r="F18" s="12" t="s">
        <v>40</v>
      </c>
      <c r="G18" s="12" t="s">
        <v>41</v>
      </c>
      <c r="H18" s="12" t="s">
        <v>42</v>
      </c>
      <c r="I18" s="11" t="s">
        <v>100</v>
      </c>
    </row>
    <row r="19" customFormat="false" ht="42" hidden="false" customHeight="true" outlineLevel="0" collapsed="false">
      <c r="A19" s="10" t="s">
        <v>101</v>
      </c>
      <c r="B19" s="11" t="s">
        <v>36</v>
      </c>
      <c r="C19" s="11" t="s">
        <v>102</v>
      </c>
      <c r="D19" s="12" t="s">
        <v>38</v>
      </c>
      <c r="E19" s="11" t="s">
        <v>103</v>
      </c>
      <c r="F19" s="12" t="s">
        <v>104</v>
      </c>
      <c r="G19" s="12" t="s">
        <v>41</v>
      </c>
      <c r="H19" s="12" t="s">
        <v>52</v>
      </c>
      <c r="I19" s="11" t="s">
        <v>105</v>
      </c>
    </row>
    <row r="20" customFormat="false" ht="30" hidden="false" customHeight="true" outlineLevel="0" collapsed="false">
      <c r="A20" s="10" t="s">
        <v>106</v>
      </c>
      <c r="B20" s="11" t="s">
        <v>36</v>
      </c>
      <c r="C20" s="11" t="s">
        <v>107</v>
      </c>
      <c r="D20" s="12" t="s">
        <v>38</v>
      </c>
      <c r="E20" s="11" t="s">
        <v>108</v>
      </c>
      <c r="F20" s="12" t="s">
        <v>109</v>
      </c>
      <c r="G20" s="12" t="s">
        <v>41</v>
      </c>
      <c r="H20" s="12" t="s">
        <v>52</v>
      </c>
      <c r="I20" s="11" t="s">
        <v>110</v>
      </c>
    </row>
    <row r="21" customFormat="false" ht="30" hidden="false" customHeight="true" outlineLevel="0" collapsed="false">
      <c r="A21" s="10" t="s">
        <v>111</v>
      </c>
      <c r="B21" s="11" t="s">
        <v>36</v>
      </c>
      <c r="C21" s="11" t="s">
        <v>112</v>
      </c>
      <c r="D21" s="12" t="s">
        <v>38</v>
      </c>
      <c r="E21" s="11" t="s">
        <v>113</v>
      </c>
      <c r="F21" s="12" t="s">
        <v>90</v>
      </c>
      <c r="G21" s="13" t="s">
        <v>38</v>
      </c>
      <c r="H21" s="12" t="s">
        <v>66</v>
      </c>
      <c r="I21" s="11" t="s">
        <v>91</v>
      </c>
    </row>
    <row r="22" customFormat="false" ht="30" hidden="false" customHeight="true" outlineLevel="0" collapsed="false">
      <c r="A22" s="10" t="s">
        <v>114</v>
      </c>
      <c r="B22" s="11" t="s">
        <v>36</v>
      </c>
      <c r="C22" s="11" t="s">
        <v>115</v>
      </c>
      <c r="D22" s="12" t="s">
        <v>38</v>
      </c>
      <c r="E22" s="11" t="s">
        <v>116</v>
      </c>
      <c r="F22" s="12" t="s">
        <v>117</v>
      </c>
      <c r="G22" s="13" t="s">
        <v>38</v>
      </c>
      <c r="H22" s="12" t="s">
        <v>66</v>
      </c>
      <c r="I22" s="11" t="s">
        <v>118</v>
      </c>
    </row>
    <row r="23" customFormat="false" ht="30" hidden="false" customHeight="true" outlineLevel="0" collapsed="false">
      <c r="A23" s="10" t="s">
        <v>119</v>
      </c>
      <c r="B23" s="11" t="s">
        <v>36</v>
      </c>
      <c r="C23" s="11" t="s">
        <v>120</v>
      </c>
      <c r="D23" s="12" t="s">
        <v>38</v>
      </c>
      <c r="E23" s="11" t="s">
        <v>121</v>
      </c>
      <c r="F23" s="12" t="s">
        <v>122</v>
      </c>
      <c r="G23" s="13" t="s">
        <v>38</v>
      </c>
      <c r="H23" s="12" t="s">
        <v>66</v>
      </c>
      <c r="I23" s="11" t="s">
        <v>91</v>
      </c>
    </row>
    <row r="24" customFormat="false" ht="30" hidden="false" customHeight="true" outlineLevel="0" collapsed="false">
      <c r="A24" s="10" t="s">
        <v>123</v>
      </c>
      <c r="B24" s="11" t="s">
        <v>36</v>
      </c>
      <c r="C24" s="11" t="s">
        <v>124</v>
      </c>
      <c r="D24" s="12" t="s">
        <v>38</v>
      </c>
      <c r="E24" s="11" t="s">
        <v>125</v>
      </c>
      <c r="F24" s="12" t="s">
        <v>104</v>
      </c>
      <c r="G24" s="13" t="s">
        <v>38</v>
      </c>
      <c r="H24" s="12" t="s">
        <v>66</v>
      </c>
      <c r="I24" s="11" t="s">
        <v>126</v>
      </c>
    </row>
    <row r="25" customFormat="false" ht="30" hidden="false" customHeight="true" outlineLevel="0" collapsed="false">
      <c r="A25" s="10" t="s">
        <v>127</v>
      </c>
      <c r="B25" s="11" t="s">
        <v>36</v>
      </c>
      <c r="C25" s="11" t="s">
        <v>128</v>
      </c>
      <c r="D25" s="12" t="s">
        <v>38</v>
      </c>
      <c r="E25" s="11" t="s">
        <v>129</v>
      </c>
      <c r="F25" s="12" t="s">
        <v>104</v>
      </c>
      <c r="G25" s="13" t="s">
        <v>38</v>
      </c>
      <c r="H25" s="12" t="s">
        <v>66</v>
      </c>
      <c r="I25" s="11" t="s">
        <v>126</v>
      </c>
    </row>
    <row r="26" customFormat="false" ht="42" hidden="false" customHeight="true" outlineLevel="0" collapsed="false">
      <c r="A26" s="10" t="s">
        <v>130</v>
      </c>
      <c r="B26" s="11" t="s">
        <v>36</v>
      </c>
      <c r="C26" s="11" t="s">
        <v>131</v>
      </c>
      <c r="D26" s="12" t="s">
        <v>38</v>
      </c>
      <c r="E26" s="11" t="s">
        <v>132</v>
      </c>
      <c r="F26" s="12" t="s">
        <v>133</v>
      </c>
      <c r="G26" s="12" t="s">
        <v>41</v>
      </c>
      <c r="H26" s="12" t="s">
        <v>52</v>
      </c>
      <c r="I26" s="11" t="s">
        <v>126</v>
      </c>
    </row>
    <row r="27" customFormat="false" ht="30" hidden="false" customHeight="true" outlineLevel="0" collapsed="false">
      <c r="A27" s="10" t="s">
        <v>134</v>
      </c>
      <c r="B27" s="11" t="s">
        <v>36</v>
      </c>
      <c r="C27" s="11" t="s">
        <v>135</v>
      </c>
      <c r="D27" s="12" t="s">
        <v>38</v>
      </c>
      <c r="E27" s="11" t="s">
        <v>136</v>
      </c>
      <c r="F27" s="12" t="s">
        <v>104</v>
      </c>
      <c r="G27" s="12" t="s">
        <v>41</v>
      </c>
      <c r="H27" s="12" t="s">
        <v>66</v>
      </c>
      <c r="I27" s="11" t="s">
        <v>126</v>
      </c>
    </row>
    <row r="28" customFormat="false" ht="30" hidden="false" customHeight="true" outlineLevel="0" collapsed="false">
      <c r="A28" s="10" t="s">
        <v>137</v>
      </c>
      <c r="B28" s="11" t="s">
        <v>36</v>
      </c>
      <c r="C28" s="11" t="s">
        <v>138</v>
      </c>
      <c r="D28" s="12" t="s">
        <v>38</v>
      </c>
      <c r="E28" s="11" t="s">
        <v>139</v>
      </c>
      <c r="F28" s="12" t="s">
        <v>140</v>
      </c>
      <c r="G28" s="13" t="s">
        <v>38</v>
      </c>
      <c r="H28" s="12" t="s">
        <v>66</v>
      </c>
      <c r="I28" s="11" t="s">
        <v>141</v>
      </c>
    </row>
    <row r="29" customFormat="false" ht="30" hidden="false" customHeight="true" outlineLevel="0" collapsed="false">
      <c r="A29" s="10" t="s">
        <v>142</v>
      </c>
      <c r="B29" s="11" t="s">
        <v>36</v>
      </c>
      <c r="C29" s="11" t="s">
        <v>143</v>
      </c>
      <c r="D29" s="12" t="s">
        <v>38</v>
      </c>
      <c r="E29" s="11" t="s">
        <v>144</v>
      </c>
      <c r="F29" s="12" t="s">
        <v>145</v>
      </c>
      <c r="G29" s="13" t="s">
        <v>38</v>
      </c>
      <c r="H29" s="12" t="s">
        <v>66</v>
      </c>
      <c r="I29" s="11" t="s">
        <v>62</v>
      </c>
    </row>
    <row r="30" customFormat="false" ht="30" hidden="false" customHeight="true" outlineLevel="0" collapsed="false">
      <c r="A30" s="10" t="s">
        <v>146</v>
      </c>
      <c r="B30" s="11" t="s">
        <v>36</v>
      </c>
      <c r="C30" s="11" t="s">
        <v>147</v>
      </c>
      <c r="D30" s="12" t="s">
        <v>38</v>
      </c>
      <c r="E30" s="11" t="s">
        <v>148</v>
      </c>
      <c r="F30" s="12" t="s">
        <v>149</v>
      </c>
      <c r="G30" s="12" t="s">
        <v>41</v>
      </c>
      <c r="H30" s="12" t="s">
        <v>66</v>
      </c>
      <c r="I30" s="11" t="s">
        <v>62</v>
      </c>
    </row>
    <row r="31" customFormat="false" ht="30" hidden="false" customHeight="true" outlineLevel="0" collapsed="false">
      <c r="A31" s="10" t="s">
        <v>150</v>
      </c>
      <c r="B31" s="11" t="s">
        <v>36</v>
      </c>
      <c r="C31" s="11" t="s">
        <v>151</v>
      </c>
      <c r="D31" s="12" t="s">
        <v>38</v>
      </c>
      <c r="E31" s="11" t="s">
        <v>152</v>
      </c>
      <c r="F31" s="12" t="s">
        <v>153</v>
      </c>
      <c r="G31" s="13" t="s">
        <v>38</v>
      </c>
      <c r="H31" s="12" t="s">
        <v>66</v>
      </c>
      <c r="I31" s="11" t="s">
        <v>62</v>
      </c>
    </row>
    <row r="32" customFormat="false" ht="30" hidden="false" customHeight="true" outlineLevel="0" collapsed="false">
      <c r="A32" s="10" t="s">
        <v>154</v>
      </c>
      <c r="B32" s="11" t="s">
        <v>36</v>
      </c>
      <c r="C32" s="11" t="s">
        <v>155</v>
      </c>
      <c r="D32" s="12" t="s">
        <v>38</v>
      </c>
      <c r="E32" s="11" t="s">
        <v>156</v>
      </c>
      <c r="F32" s="12" t="s">
        <v>40</v>
      </c>
      <c r="G32" s="12" t="s">
        <v>41</v>
      </c>
      <c r="H32" s="12" t="s">
        <v>66</v>
      </c>
      <c r="I32" s="11" t="s">
        <v>62</v>
      </c>
    </row>
    <row r="33" customFormat="false" ht="30" hidden="false" customHeight="true" outlineLevel="0" collapsed="false">
      <c r="A33" s="10" t="s">
        <v>157</v>
      </c>
      <c r="B33" s="11" t="s">
        <v>36</v>
      </c>
      <c r="C33" s="11" t="s">
        <v>158</v>
      </c>
      <c r="D33" s="12" t="s">
        <v>38</v>
      </c>
      <c r="E33" s="11" t="s">
        <v>159</v>
      </c>
      <c r="F33" s="12" t="s">
        <v>61</v>
      </c>
      <c r="G33" s="12" t="s">
        <v>41</v>
      </c>
      <c r="H33" s="12" t="s">
        <v>66</v>
      </c>
      <c r="I33" s="11" t="s">
        <v>62</v>
      </c>
    </row>
    <row r="34" customFormat="false" ht="30" hidden="false" customHeight="true" outlineLevel="0" collapsed="false">
      <c r="A34" s="10" t="s">
        <v>160</v>
      </c>
      <c r="B34" s="11" t="s">
        <v>36</v>
      </c>
      <c r="C34" s="11" t="s">
        <v>161</v>
      </c>
      <c r="D34" s="12" t="s">
        <v>38</v>
      </c>
      <c r="E34" s="11" t="s">
        <v>162</v>
      </c>
      <c r="F34" s="12" t="s">
        <v>163</v>
      </c>
      <c r="G34" s="12" t="s">
        <v>41</v>
      </c>
      <c r="H34" s="12" t="s">
        <v>66</v>
      </c>
      <c r="I34" s="11" t="s">
        <v>164</v>
      </c>
    </row>
    <row r="35" customFormat="false" ht="42" hidden="false" customHeight="true" outlineLevel="0" collapsed="false">
      <c r="A35" s="10" t="s">
        <v>165</v>
      </c>
      <c r="B35" s="11" t="s">
        <v>36</v>
      </c>
      <c r="C35" s="11" t="s">
        <v>166</v>
      </c>
      <c r="D35" s="12" t="s">
        <v>38</v>
      </c>
      <c r="E35" s="11" t="s">
        <v>167</v>
      </c>
      <c r="F35" s="12" t="s">
        <v>163</v>
      </c>
      <c r="G35" s="13" t="s">
        <v>38</v>
      </c>
      <c r="H35" s="12" t="s">
        <v>66</v>
      </c>
      <c r="I35" s="11" t="s">
        <v>164</v>
      </c>
    </row>
    <row r="36" customFormat="false" ht="30" hidden="false" customHeight="true" outlineLevel="0" collapsed="false">
      <c r="A36" s="10" t="s">
        <v>168</v>
      </c>
      <c r="B36" s="11" t="s">
        <v>36</v>
      </c>
      <c r="C36" s="11" t="s">
        <v>169</v>
      </c>
      <c r="D36" s="12" t="s">
        <v>38</v>
      </c>
      <c r="E36" s="11" t="s">
        <v>170</v>
      </c>
      <c r="F36" s="12" t="s">
        <v>171</v>
      </c>
      <c r="G36" s="12" t="s">
        <v>41</v>
      </c>
      <c r="H36" s="12" t="s">
        <v>42</v>
      </c>
      <c r="I36" s="11" t="s">
        <v>172</v>
      </c>
    </row>
    <row r="37" customFormat="false" ht="30" hidden="false" customHeight="true" outlineLevel="0" collapsed="false">
      <c r="A37" s="10" t="s">
        <v>173</v>
      </c>
      <c r="B37" s="11" t="s">
        <v>36</v>
      </c>
      <c r="C37" s="11" t="s">
        <v>174</v>
      </c>
      <c r="D37" s="12" t="s">
        <v>38</v>
      </c>
      <c r="E37" s="11" t="s">
        <v>175</v>
      </c>
      <c r="F37" s="12" t="s">
        <v>61</v>
      </c>
      <c r="G37" s="12" t="s">
        <v>41</v>
      </c>
      <c r="H37" s="12" t="s">
        <v>52</v>
      </c>
      <c r="I37" s="11" t="s">
        <v>176</v>
      </c>
    </row>
    <row r="38" customFormat="false" ht="30" hidden="false" customHeight="true" outlineLevel="0" collapsed="false">
      <c r="A38" s="10" t="s">
        <v>177</v>
      </c>
      <c r="B38" s="11" t="s">
        <v>36</v>
      </c>
      <c r="C38" s="11" t="s">
        <v>178</v>
      </c>
      <c r="D38" s="12" t="s">
        <v>38</v>
      </c>
      <c r="E38" s="11" t="s">
        <v>179</v>
      </c>
      <c r="F38" s="12" t="s">
        <v>180</v>
      </c>
      <c r="G38" s="12" t="s">
        <v>41</v>
      </c>
      <c r="H38" s="12" t="s">
        <v>42</v>
      </c>
      <c r="I38" s="11" t="s">
        <v>100</v>
      </c>
    </row>
    <row r="39" customFormat="false" ht="30" hidden="false" customHeight="true" outlineLevel="0" collapsed="false">
      <c r="A39" s="10" t="s">
        <v>181</v>
      </c>
      <c r="B39" s="11" t="s">
        <v>36</v>
      </c>
      <c r="C39" s="11" t="s">
        <v>182</v>
      </c>
      <c r="D39" s="12" t="s">
        <v>38</v>
      </c>
      <c r="E39" s="11" t="s">
        <v>183</v>
      </c>
      <c r="F39" s="12" t="s">
        <v>61</v>
      </c>
      <c r="G39" s="12" t="s">
        <v>41</v>
      </c>
      <c r="H39" s="12" t="s">
        <v>52</v>
      </c>
      <c r="I39" s="11" t="s">
        <v>176</v>
      </c>
    </row>
    <row r="40" customFormat="false" ht="30" hidden="false" customHeight="true" outlineLevel="0" collapsed="false">
      <c r="A40" s="10" t="s">
        <v>184</v>
      </c>
      <c r="B40" s="11" t="s">
        <v>36</v>
      </c>
      <c r="C40" s="11" t="s">
        <v>185</v>
      </c>
      <c r="D40" s="12" t="s">
        <v>38</v>
      </c>
      <c r="E40" s="11" t="s">
        <v>186</v>
      </c>
      <c r="F40" s="12" t="s">
        <v>40</v>
      </c>
      <c r="G40" s="12" t="s">
        <v>41</v>
      </c>
      <c r="H40" s="12" t="s">
        <v>66</v>
      </c>
      <c r="I40" s="11" t="s">
        <v>47</v>
      </c>
    </row>
    <row r="41" customFormat="false" ht="30" hidden="false" customHeight="true" outlineLevel="0" collapsed="false">
      <c r="A41" s="10" t="s">
        <v>187</v>
      </c>
      <c r="B41" s="11" t="s">
        <v>36</v>
      </c>
      <c r="C41" s="11" t="s">
        <v>188</v>
      </c>
      <c r="D41" s="12" t="s">
        <v>38</v>
      </c>
      <c r="E41" s="11" t="s">
        <v>189</v>
      </c>
      <c r="F41" s="12" t="s">
        <v>40</v>
      </c>
      <c r="G41" s="12" t="s">
        <v>41</v>
      </c>
      <c r="H41" s="12" t="s">
        <v>66</v>
      </c>
      <c r="I41" s="11" t="s">
        <v>190</v>
      </c>
    </row>
    <row r="42" customFormat="false" ht="30" hidden="false" customHeight="true" outlineLevel="0" collapsed="false">
      <c r="A42" s="10" t="s">
        <v>191</v>
      </c>
      <c r="B42" s="11" t="s">
        <v>36</v>
      </c>
      <c r="C42" s="11" t="s">
        <v>192</v>
      </c>
      <c r="D42" s="12" t="s">
        <v>38</v>
      </c>
      <c r="E42" s="11" t="s">
        <v>193</v>
      </c>
      <c r="F42" s="12" t="s">
        <v>163</v>
      </c>
      <c r="G42" s="12" t="s">
        <v>41</v>
      </c>
      <c r="H42" s="12" t="s">
        <v>52</v>
      </c>
      <c r="I42" s="11" t="s">
        <v>194</v>
      </c>
    </row>
    <row r="43" customFormat="false" ht="15" hidden="false" customHeight="false" outlineLevel="0" collapsed="false">
      <c r="A43" s="9" t="s">
        <v>195</v>
      </c>
      <c r="B43" s="9"/>
      <c r="C43" s="9"/>
      <c r="D43" s="9"/>
      <c r="E43" s="9"/>
      <c r="F43" s="9"/>
      <c r="G43" s="9"/>
      <c r="H43" s="9"/>
      <c r="I43" s="9"/>
    </row>
    <row r="44" customFormat="false" ht="30" hidden="false" customHeight="true" outlineLevel="0" collapsed="false">
      <c r="A44" s="10" t="s">
        <v>196</v>
      </c>
      <c r="B44" s="11" t="s">
        <v>197</v>
      </c>
      <c r="C44" s="11" t="s">
        <v>198</v>
      </c>
      <c r="D44" s="12" t="s">
        <v>38</v>
      </c>
      <c r="E44" s="11" t="s">
        <v>199</v>
      </c>
      <c r="F44" s="12" t="s">
        <v>61</v>
      </c>
      <c r="G44" s="12" t="s">
        <v>41</v>
      </c>
      <c r="H44" s="12" t="s">
        <v>52</v>
      </c>
      <c r="I44" s="11" t="s">
        <v>200</v>
      </c>
    </row>
    <row r="45" customFormat="false" ht="30" hidden="false" customHeight="true" outlineLevel="0" collapsed="false">
      <c r="A45" s="10" t="s">
        <v>201</v>
      </c>
      <c r="B45" s="11" t="s">
        <v>197</v>
      </c>
      <c r="C45" s="11" t="s">
        <v>202</v>
      </c>
      <c r="D45" s="12" t="s">
        <v>38</v>
      </c>
      <c r="E45" s="11" t="s">
        <v>203</v>
      </c>
      <c r="F45" s="12" t="s">
        <v>40</v>
      </c>
      <c r="G45" s="12" t="s">
        <v>41</v>
      </c>
      <c r="H45" s="12" t="s">
        <v>42</v>
      </c>
      <c r="I45" s="11" t="s">
        <v>200</v>
      </c>
    </row>
    <row r="46" customFormat="false" ht="30" hidden="false" customHeight="true" outlineLevel="0" collapsed="false">
      <c r="A46" s="10" t="s">
        <v>204</v>
      </c>
      <c r="B46" s="11" t="s">
        <v>197</v>
      </c>
      <c r="C46" s="11" t="s">
        <v>205</v>
      </c>
      <c r="D46" s="12" t="s">
        <v>38</v>
      </c>
      <c r="E46" s="11" t="s">
        <v>206</v>
      </c>
      <c r="F46" s="12" t="s">
        <v>207</v>
      </c>
      <c r="G46" s="13" t="s">
        <v>38</v>
      </c>
      <c r="H46" s="12" t="s">
        <v>66</v>
      </c>
      <c r="I46" s="11" t="s">
        <v>200</v>
      </c>
    </row>
    <row r="47" customFormat="false" ht="30" hidden="false" customHeight="true" outlineLevel="0" collapsed="false">
      <c r="A47" s="10" t="s">
        <v>208</v>
      </c>
      <c r="B47" s="11" t="s">
        <v>197</v>
      </c>
      <c r="C47" s="11" t="s">
        <v>209</v>
      </c>
      <c r="D47" s="12" t="s">
        <v>38</v>
      </c>
      <c r="E47" s="11" t="s">
        <v>210</v>
      </c>
      <c r="F47" s="12" t="s">
        <v>40</v>
      </c>
      <c r="G47" s="12" t="s">
        <v>41</v>
      </c>
      <c r="H47" s="12" t="s">
        <v>42</v>
      </c>
      <c r="I47" s="11" t="s">
        <v>57</v>
      </c>
    </row>
    <row r="48" customFormat="false" ht="30" hidden="false" customHeight="true" outlineLevel="0" collapsed="false">
      <c r="A48" s="10" t="s">
        <v>211</v>
      </c>
      <c r="B48" s="11" t="s">
        <v>197</v>
      </c>
      <c r="C48" s="11" t="s">
        <v>212</v>
      </c>
      <c r="D48" s="12" t="s">
        <v>38</v>
      </c>
      <c r="E48" s="11" t="s">
        <v>213</v>
      </c>
      <c r="F48" s="12" t="s">
        <v>90</v>
      </c>
      <c r="G48" s="13" t="s">
        <v>38</v>
      </c>
      <c r="H48" s="12" t="s">
        <v>66</v>
      </c>
      <c r="I48" s="11" t="s">
        <v>91</v>
      </c>
    </row>
    <row r="49" customFormat="false" ht="30" hidden="false" customHeight="true" outlineLevel="0" collapsed="false">
      <c r="A49" s="10" t="s">
        <v>214</v>
      </c>
      <c r="B49" s="11" t="s">
        <v>197</v>
      </c>
      <c r="C49" s="11" t="s">
        <v>215</v>
      </c>
      <c r="D49" s="12" t="s">
        <v>38</v>
      </c>
      <c r="E49" s="11" t="s">
        <v>216</v>
      </c>
      <c r="F49" s="12" t="s">
        <v>217</v>
      </c>
      <c r="G49" s="12" t="s">
        <v>41</v>
      </c>
      <c r="H49" s="12" t="s">
        <v>42</v>
      </c>
      <c r="I49" s="11" t="s">
        <v>200</v>
      </c>
    </row>
    <row r="50" customFormat="false" ht="30" hidden="false" customHeight="true" outlineLevel="0" collapsed="false">
      <c r="A50" s="10" t="s">
        <v>218</v>
      </c>
      <c r="B50" s="11" t="s">
        <v>197</v>
      </c>
      <c r="C50" s="11" t="s">
        <v>219</v>
      </c>
      <c r="D50" s="12" t="s">
        <v>38</v>
      </c>
      <c r="E50" s="11" t="s">
        <v>220</v>
      </c>
      <c r="F50" s="12" t="s">
        <v>221</v>
      </c>
      <c r="G50" s="12" t="s">
        <v>41</v>
      </c>
      <c r="H50" s="12" t="s">
        <v>52</v>
      </c>
      <c r="I50" s="11" t="s">
        <v>86</v>
      </c>
    </row>
    <row r="51" customFormat="false" ht="30" hidden="false" customHeight="true" outlineLevel="0" collapsed="false">
      <c r="A51" s="10" t="s">
        <v>222</v>
      </c>
      <c r="B51" s="11" t="s">
        <v>197</v>
      </c>
      <c r="C51" s="11" t="s">
        <v>223</v>
      </c>
      <c r="D51" s="12" t="s">
        <v>38</v>
      </c>
      <c r="E51" s="11" t="s">
        <v>224</v>
      </c>
      <c r="F51" s="12" t="s">
        <v>207</v>
      </c>
      <c r="G51" s="13" t="s">
        <v>38</v>
      </c>
      <c r="H51" s="12" t="s">
        <v>66</v>
      </c>
      <c r="I51" s="11" t="s">
        <v>62</v>
      </c>
    </row>
    <row r="52" customFormat="false" ht="15" hidden="false" customHeight="false" outlineLevel="0" collapsed="false">
      <c r="A52" s="9" t="s">
        <v>225</v>
      </c>
      <c r="B52" s="9"/>
      <c r="C52" s="9"/>
      <c r="D52" s="9"/>
      <c r="E52" s="9"/>
      <c r="F52" s="9"/>
      <c r="G52" s="9"/>
      <c r="H52" s="9"/>
      <c r="I52" s="9"/>
    </row>
    <row r="53" customFormat="false" ht="30" hidden="false" customHeight="true" outlineLevel="0" collapsed="false">
      <c r="A53" s="10" t="s">
        <v>226</v>
      </c>
      <c r="B53" s="11" t="s">
        <v>227</v>
      </c>
      <c r="C53" s="11" t="s">
        <v>228</v>
      </c>
      <c r="D53" s="12" t="s">
        <v>38</v>
      </c>
      <c r="E53" s="11" t="s">
        <v>229</v>
      </c>
      <c r="F53" s="12" t="s">
        <v>40</v>
      </c>
      <c r="G53" s="12" t="s">
        <v>41</v>
      </c>
      <c r="H53" s="12" t="s">
        <v>42</v>
      </c>
      <c r="I53" s="11" t="s">
        <v>86</v>
      </c>
    </row>
    <row r="54" customFormat="false" ht="30" hidden="false" customHeight="true" outlineLevel="0" collapsed="false">
      <c r="A54" s="10" t="s">
        <v>230</v>
      </c>
      <c r="B54" s="11" t="s">
        <v>227</v>
      </c>
      <c r="C54" s="11" t="s">
        <v>231</v>
      </c>
      <c r="D54" s="12" t="s">
        <v>38</v>
      </c>
      <c r="E54" s="11" t="s">
        <v>232</v>
      </c>
      <c r="F54" s="12" t="s">
        <v>40</v>
      </c>
      <c r="G54" s="12" t="s">
        <v>41</v>
      </c>
      <c r="H54" s="12" t="s">
        <v>42</v>
      </c>
      <c r="I54" s="11" t="s">
        <v>86</v>
      </c>
    </row>
    <row r="55" customFormat="false" ht="30" hidden="false" customHeight="true" outlineLevel="0" collapsed="false">
      <c r="A55" s="10" t="s">
        <v>233</v>
      </c>
      <c r="B55" s="11" t="s">
        <v>227</v>
      </c>
      <c r="C55" s="11" t="s">
        <v>234</v>
      </c>
      <c r="D55" s="12" t="s">
        <v>38</v>
      </c>
      <c r="E55" s="11" t="s">
        <v>235</v>
      </c>
      <c r="F55" s="12" t="s">
        <v>40</v>
      </c>
      <c r="G55" s="12" t="s">
        <v>41</v>
      </c>
      <c r="H55" s="12" t="s">
        <v>42</v>
      </c>
      <c r="I55" s="11" t="s">
        <v>86</v>
      </c>
    </row>
    <row r="56" customFormat="false" ht="30" hidden="false" customHeight="true" outlineLevel="0" collapsed="false">
      <c r="A56" s="10" t="s">
        <v>236</v>
      </c>
      <c r="B56" s="11" t="s">
        <v>227</v>
      </c>
      <c r="C56" s="11" t="s">
        <v>237</v>
      </c>
      <c r="D56" s="12" t="s">
        <v>38</v>
      </c>
      <c r="E56" s="11" t="s">
        <v>238</v>
      </c>
      <c r="F56" s="12" t="s">
        <v>40</v>
      </c>
      <c r="G56" s="12" t="s">
        <v>41</v>
      </c>
      <c r="H56" s="12" t="s">
        <v>42</v>
      </c>
      <c r="I56" s="11" t="s">
        <v>86</v>
      </c>
    </row>
    <row r="57" customFormat="false" ht="30" hidden="false" customHeight="true" outlineLevel="0" collapsed="false">
      <c r="A57" s="10" t="s">
        <v>239</v>
      </c>
      <c r="B57" s="11" t="s">
        <v>227</v>
      </c>
      <c r="C57" s="11" t="s">
        <v>240</v>
      </c>
      <c r="D57" s="12" t="s">
        <v>38</v>
      </c>
      <c r="E57" s="11" t="s">
        <v>241</v>
      </c>
      <c r="F57" s="12" t="s">
        <v>163</v>
      </c>
      <c r="G57" s="12" t="s">
        <v>41</v>
      </c>
      <c r="H57" s="12" t="s">
        <v>52</v>
      </c>
      <c r="I57" s="11" t="s">
        <v>164</v>
      </c>
    </row>
    <row r="58" customFormat="false" ht="42" hidden="false" customHeight="true" outlineLevel="0" collapsed="false">
      <c r="A58" s="10" t="s">
        <v>242</v>
      </c>
      <c r="B58" s="11" t="s">
        <v>227</v>
      </c>
      <c r="C58" s="11" t="s">
        <v>243</v>
      </c>
      <c r="D58" s="13" t="s">
        <v>244</v>
      </c>
      <c r="E58" s="11" t="s">
        <v>245</v>
      </c>
      <c r="F58" s="12" t="s">
        <v>41</v>
      </c>
      <c r="G58" s="12" t="s">
        <v>41</v>
      </c>
      <c r="H58" s="12" t="s">
        <v>246</v>
      </c>
      <c r="I58" s="11" t="s">
        <v>41</v>
      </c>
    </row>
    <row r="59" customFormat="false" ht="30" hidden="false" customHeight="true" outlineLevel="0" collapsed="false">
      <c r="A59" s="10" t="s">
        <v>247</v>
      </c>
      <c r="B59" s="11" t="s">
        <v>227</v>
      </c>
      <c r="C59" s="11" t="s">
        <v>248</v>
      </c>
      <c r="D59" s="12" t="s">
        <v>38</v>
      </c>
      <c r="E59" s="11" t="s">
        <v>249</v>
      </c>
      <c r="F59" s="12" t="s">
        <v>221</v>
      </c>
      <c r="G59" s="12" t="s">
        <v>41</v>
      </c>
      <c r="H59" s="12" t="s">
        <v>52</v>
      </c>
      <c r="I59" s="11" t="s">
        <v>86</v>
      </c>
    </row>
    <row r="60" customFormat="false" ht="30" hidden="false" customHeight="true" outlineLevel="0" collapsed="false">
      <c r="A60" s="10" t="s">
        <v>250</v>
      </c>
      <c r="B60" s="11" t="s">
        <v>227</v>
      </c>
      <c r="C60" s="11" t="s">
        <v>251</v>
      </c>
      <c r="D60" s="12" t="s">
        <v>38</v>
      </c>
      <c r="E60" s="11" t="s">
        <v>252</v>
      </c>
      <c r="F60" s="12" t="s">
        <v>40</v>
      </c>
      <c r="G60" s="12" t="s">
        <v>41</v>
      </c>
      <c r="H60" s="12" t="s">
        <v>42</v>
      </c>
      <c r="I60" s="11" t="s">
        <v>86</v>
      </c>
    </row>
    <row r="61" customFormat="false" ht="30" hidden="false" customHeight="true" outlineLevel="0" collapsed="false">
      <c r="A61" s="10" t="s">
        <v>253</v>
      </c>
      <c r="B61" s="11" t="s">
        <v>227</v>
      </c>
      <c r="C61" s="11" t="s">
        <v>254</v>
      </c>
      <c r="D61" s="12" t="s">
        <v>38</v>
      </c>
      <c r="E61" s="11" t="s">
        <v>255</v>
      </c>
      <c r="F61" s="12" t="s">
        <v>221</v>
      </c>
      <c r="G61" s="13" t="s">
        <v>38</v>
      </c>
      <c r="H61" s="12" t="s">
        <v>66</v>
      </c>
      <c r="I61" s="11" t="s">
        <v>86</v>
      </c>
    </row>
    <row r="62" customFormat="false" ht="30" hidden="false" customHeight="true" outlineLevel="0" collapsed="false">
      <c r="A62" s="10" t="s">
        <v>256</v>
      </c>
      <c r="B62" s="11" t="s">
        <v>227</v>
      </c>
      <c r="C62" s="11" t="s">
        <v>257</v>
      </c>
      <c r="D62" s="12" t="s">
        <v>38</v>
      </c>
      <c r="E62" s="11" t="s">
        <v>258</v>
      </c>
      <c r="F62" s="12" t="s">
        <v>221</v>
      </c>
      <c r="G62" s="12" t="s">
        <v>41</v>
      </c>
      <c r="H62" s="12" t="s">
        <v>52</v>
      </c>
      <c r="I62" s="11" t="s">
        <v>86</v>
      </c>
    </row>
    <row r="63" customFormat="false" ht="30" hidden="false" customHeight="true" outlineLevel="0" collapsed="false">
      <c r="A63" s="10" t="s">
        <v>259</v>
      </c>
      <c r="B63" s="11" t="s">
        <v>227</v>
      </c>
      <c r="C63" s="11" t="s">
        <v>260</v>
      </c>
      <c r="D63" s="12" t="s">
        <v>38</v>
      </c>
      <c r="E63" s="11" t="s">
        <v>261</v>
      </c>
      <c r="F63" s="12" t="s">
        <v>40</v>
      </c>
      <c r="G63" s="12" t="s">
        <v>41</v>
      </c>
      <c r="H63" s="12" t="s">
        <v>42</v>
      </c>
      <c r="I63" s="11" t="s">
        <v>164</v>
      </c>
    </row>
    <row r="64" customFormat="false" ht="42" hidden="false" customHeight="true" outlineLevel="0" collapsed="false">
      <c r="A64" s="10" t="s">
        <v>262</v>
      </c>
      <c r="B64" s="11" t="s">
        <v>227</v>
      </c>
      <c r="C64" s="11" t="s">
        <v>263</v>
      </c>
      <c r="D64" s="13" t="s">
        <v>244</v>
      </c>
      <c r="E64" s="11" t="s">
        <v>264</v>
      </c>
      <c r="F64" s="12" t="s">
        <v>41</v>
      </c>
      <c r="G64" s="12" t="s">
        <v>41</v>
      </c>
      <c r="H64" s="12" t="s">
        <v>246</v>
      </c>
      <c r="I64" s="11" t="s">
        <v>41</v>
      </c>
    </row>
    <row r="65" customFormat="false" ht="30" hidden="false" customHeight="true" outlineLevel="0" collapsed="false">
      <c r="A65" s="10" t="s">
        <v>265</v>
      </c>
      <c r="B65" s="11" t="s">
        <v>227</v>
      </c>
      <c r="C65" s="11" t="s">
        <v>266</v>
      </c>
      <c r="D65" s="12" t="s">
        <v>38</v>
      </c>
      <c r="E65" s="11" t="s">
        <v>267</v>
      </c>
      <c r="F65" s="12" t="s">
        <v>40</v>
      </c>
      <c r="G65" s="12" t="s">
        <v>41</v>
      </c>
      <c r="H65" s="12" t="s">
        <v>42</v>
      </c>
      <c r="I65" s="11" t="s">
        <v>86</v>
      </c>
    </row>
    <row r="66" customFormat="false" ht="30" hidden="false" customHeight="true" outlineLevel="0" collapsed="false">
      <c r="A66" s="10" t="s">
        <v>268</v>
      </c>
      <c r="B66" s="11" t="s">
        <v>227</v>
      </c>
      <c r="C66" s="11" t="s">
        <v>269</v>
      </c>
      <c r="D66" s="12" t="s">
        <v>38</v>
      </c>
      <c r="E66" s="11" t="s">
        <v>270</v>
      </c>
      <c r="F66" s="12" t="s">
        <v>61</v>
      </c>
      <c r="G66" s="12" t="s">
        <v>41</v>
      </c>
      <c r="H66" s="12" t="s">
        <v>52</v>
      </c>
      <c r="I66" s="11" t="s">
        <v>86</v>
      </c>
    </row>
    <row r="67" customFormat="false" ht="15" hidden="false" customHeight="false" outlineLevel="0" collapsed="false">
      <c r="A67" s="9" t="s">
        <v>271</v>
      </c>
      <c r="B67" s="9"/>
      <c r="C67" s="9"/>
      <c r="D67" s="9"/>
      <c r="E67" s="9"/>
      <c r="F67" s="9"/>
      <c r="G67" s="9"/>
      <c r="H67" s="9"/>
      <c r="I67" s="9"/>
    </row>
    <row r="68" customFormat="false" ht="30" hidden="false" customHeight="true" outlineLevel="0" collapsed="false">
      <c r="A68" s="10" t="s">
        <v>272</v>
      </c>
      <c r="B68" s="11" t="s">
        <v>273</v>
      </c>
      <c r="C68" s="11" t="s">
        <v>274</v>
      </c>
      <c r="D68" s="12" t="s">
        <v>38</v>
      </c>
      <c r="E68" s="11" t="s">
        <v>275</v>
      </c>
      <c r="F68" s="12" t="s">
        <v>221</v>
      </c>
      <c r="G68" s="13" t="s">
        <v>38</v>
      </c>
      <c r="H68" s="12" t="s">
        <v>66</v>
      </c>
      <c r="I68" s="11" t="s">
        <v>86</v>
      </c>
    </row>
    <row r="69" customFormat="false" ht="42" hidden="false" customHeight="true" outlineLevel="0" collapsed="false">
      <c r="A69" s="10" t="s">
        <v>276</v>
      </c>
      <c r="B69" s="11" t="s">
        <v>273</v>
      </c>
      <c r="C69" s="11" t="s">
        <v>277</v>
      </c>
      <c r="D69" s="12" t="s">
        <v>38</v>
      </c>
      <c r="E69" s="11" t="s">
        <v>278</v>
      </c>
      <c r="F69" s="12" t="s">
        <v>153</v>
      </c>
      <c r="G69" s="13" t="s">
        <v>38</v>
      </c>
      <c r="H69" s="12" t="s">
        <v>66</v>
      </c>
      <c r="I69" s="11" t="s">
        <v>91</v>
      </c>
    </row>
    <row r="70" customFormat="false" ht="30" hidden="false" customHeight="true" outlineLevel="0" collapsed="false">
      <c r="A70" s="10" t="s">
        <v>279</v>
      </c>
      <c r="B70" s="11" t="s">
        <v>273</v>
      </c>
      <c r="C70" s="11" t="s">
        <v>280</v>
      </c>
      <c r="D70" s="12" t="s">
        <v>38</v>
      </c>
      <c r="E70" s="11" t="s">
        <v>281</v>
      </c>
      <c r="F70" s="12" t="s">
        <v>282</v>
      </c>
      <c r="G70" s="13" t="s">
        <v>38</v>
      </c>
      <c r="H70" s="12" t="s">
        <v>66</v>
      </c>
      <c r="I70" s="11" t="s">
        <v>118</v>
      </c>
    </row>
    <row r="71" customFormat="false" ht="42" hidden="false" customHeight="true" outlineLevel="0" collapsed="false">
      <c r="A71" s="10" t="s">
        <v>283</v>
      </c>
      <c r="B71" s="11" t="s">
        <v>273</v>
      </c>
      <c r="C71" s="11" t="s">
        <v>284</v>
      </c>
      <c r="D71" s="12" t="s">
        <v>38</v>
      </c>
      <c r="E71" s="11" t="s">
        <v>285</v>
      </c>
      <c r="F71" s="12" t="s">
        <v>117</v>
      </c>
      <c r="G71" s="13" t="s">
        <v>38</v>
      </c>
      <c r="H71" s="12" t="s">
        <v>66</v>
      </c>
      <c r="I71" s="11" t="s">
        <v>77</v>
      </c>
    </row>
    <row r="72" customFormat="false" ht="42" hidden="false" customHeight="true" outlineLevel="0" collapsed="false">
      <c r="A72" s="10" t="s">
        <v>286</v>
      </c>
      <c r="B72" s="11" t="s">
        <v>273</v>
      </c>
      <c r="C72" s="11" t="s">
        <v>287</v>
      </c>
      <c r="D72" s="12" t="s">
        <v>38</v>
      </c>
      <c r="E72" s="11" t="s">
        <v>288</v>
      </c>
      <c r="F72" s="12" t="s">
        <v>289</v>
      </c>
      <c r="G72" s="13" t="s">
        <v>38</v>
      </c>
      <c r="H72" s="12" t="s">
        <v>52</v>
      </c>
      <c r="I72" s="11" t="s">
        <v>118</v>
      </c>
    </row>
    <row r="73" customFormat="false" ht="30" hidden="false" customHeight="true" outlineLevel="0" collapsed="false">
      <c r="A73" s="10" t="s">
        <v>290</v>
      </c>
      <c r="B73" s="11" t="s">
        <v>273</v>
      </c>
      <c r="C73" s="11" t="s">
        <v>291</v>
      </c>
      <c r="D73" s="12" t="s">
        <v>38</v>
      </c>
      <c r="E73" s="11" t="s">
        <v>292</v>
      </c>
      <c r="F73" s="12" t="s">
        <v>163</v>
      </c>
      <c r="G73" s="12" t="s">
        <v>41</v>
      </c>
      <c r="H73" s="12" t="s">
        <v>42</v>
      </c>
      <c r="I73" s="11" t="s">
        <v>194</v>
      </c>
    </row>
    <row r="74" customFormat="false" ht="30" hidden="false" customHeight="true" outlineLevel="0" collapsed="false">
      <c r="A74" s="10" t="s">
        <v>293</v>
      </c>
      <c r="B74" s="11" t="s">
        <v>273</v>
      </c>
      <c r="C74" s="11" t="s">
        <v>294</v>
      </c>
      <c r="D74" s="12" t="s">
        <v>38</v>
      </c>
      <c r="E74" s="11" t="s">
        <v>295</v>
      </c>
      <c r="F74" s="12" t="s">
        <v>296</v>
      </c>
      <c r="G74" s="12" t="s">
        <v>41</v>
      </c>
      <c r="H74" s="12" t="s">
        <v>52</v>
      </c>
      <c r="I74" s="11" t="s">
        <v>86</v>
      </c>
    </row>
    <row r="75" customFormat="false" ht="30" hidden="false" customHeight="true" outlineLevel="0" collapsed="false">
      <c r="A75" s="10" t="s">
        <v>297</v>
      </c>
      <c r="B75" s="11" t="s">
        <v>273</v>
      </c>
      <c r="C75" s="11" t="s">
        <v>298</v>
      </c>
      <c r="D75" s="12" t="s">
        <v>38</v>
      </c>
      <c r="E75" s="11" t="s">
        <v>299</v>
      </c>
      <c r="F75" s="12" t="s">
        <v>76</v>
      </c>
      <c r="G75" s="13" t="s">
        <v>38</v>
      </c>
      <c r="H75" s="12" t="s">
        <v>66</v>
      </c>
      <c r="I75" s="11" t="s">
        <v>194</v>
      </c>
    </row>
    <row r="76" customFormat="false" ht="30" hidden="false" customHeight="true" outlineLevel="0" collapsed="false">
      <c r="A76" s="10" t="s">
        <v>300</v>
      </c>
      <c r="B76" s="11" t="s">
        <v>273</v>
      </c>
      <c r="C76" s="11" t="s">
        <v>301</v>
      </c>
      <c r="D76" s="12" t="s">
        <v>38</v>
      </c>
      <c r="E76" s="11" t="s">
        <v>302</v>
      </c>
      <c r="F76" s="12" t="s">
        <v>303</v>
      </c>
      <c r="G76" s="13" t="s">
        <v>38</v>
      </c>
      <c r="H76" s="12" t="s">
        <v>66</v>
      </c>
      <c r="I76" s="11" t="s">
        <v>194</v>
      </c>
    </row>
    <row r="77" customFormat="false" ht="30" hidden="false" customHeight="true" outlineLevel="0" collapsed="false">
      <c r="A77" s="10" t="s">
        <v>304</v>
      </c>
      <c r="B77" s="11" t="s">
        <v>273</v>
      </c>
      <c r="C77" s="11" t="s">
        <v>305</v>
      </c>
      <c r="D77" s="12" t="s">
        <v>38</v>
      </c>
      <c r="E77" s="11" t="s">
        <v>306</v>
      </c>
      <c r="F77" s="12" t="s">
        <v>171</v>
      </c>
      <c r="G77" s="12" t="s">
        <v>41</v>
      </c>
      <c r="H77" s="12" t="s">
        <v>52</v>
      </c>
      <c r="I77" s="11" t="s">
        <v>176</v>
      </c>
    </row>
    <row r="78" customFormat="false" ht="30" hidden="false" customHeight="true" outlineLevel="0" collapsed="false">
      <c r="A78" s="10" t="s">
        <v>307</v>
      </c>
      <c r="B78" s="11" t="s">
        <v>273</v>
      </c>
      <c r="C78" s="11" t="s">
        <v>308</v>
      </c>
      <c r="D78" s="12" t="s">
        <v>38</v>
      </c>
      <c r="E78" s="11" t="s">
        <v>309</v>
      </c>
      <c r="F78" s="12" t="s">
        <v>282</v>
      </c>
      <c r="G78" s="13" t="s">
        <v>38</v>
      </c>
      <c r="H78" s="12" t="s">
        <v>66</v>
      </c>
      <c r="I78" s="11" t="s">
        <v>118</v>
      </c>
    </row>
    <row r="79" customFormat="false" ht="30" hidden="false" customHeight="true" outlineLevel="0" collapsed="false">
      <c r="A79" s="10" t="s">
        <v>310</v>
      </c>
      <c r="B79" s="11" t="s">
        <v>273</v>
      </c>
      <c r="C79" s="11" t="s">
        <v>311</v>
      </c>
      <c r="D79" s="12" t="s">
        <v>38</v>
      </c>
      <c r="E79" s="11" t="s">
        <v>312</v>
      </c>
      <c r="F79" s="12" t="s">
        <v>313</v>
      </c>
      <c r="G79" s="12" t="s">
        <v>41</v>
      </c>
      <c r="H79" s="12" t="s">
        <v>66</v>
      </c>
      <c r="I79" s="11" t="s">
        <v>194</v>
      </c>
    </row>
    <row r="80" customFormat="false" ht="42" hidden="false" customHeight="true" outlineLevel="0" collapsed="false">
      <c r="A80" s="10" t="s">
        <v>314</v>
      </c>
      <c r="B80" s="11" t="s">
        <v>273</v>
      </c>
      <c r="C80" s="11" t="s">
        <v>315</v>
      </c>
      <c r="D80" s="12" t="s">
        <v>38</v>
      </c>
      <c r="E80" s="11" t="s">
        <v>316</v>
      </c>
      <c r="F80" s="12" t="s">
        <v>317</v>
      </c>
      <c r="G80" s="13" t="s">
        <v>38</v>
      </c>
      <c r="H80" s="12" t="s">
        <v>52</v>
      </c>
      <c r="I80" s="11" t="s">
        <v>194</v>
      </c>
    </row>
    <row r="81" customFormat="false" ht="30" hidden="false" customHeight="true" outlineLevel="0" collapsed="false">
      <c r="A81" s="10" t="s">
        <v>318</v>
      </c>
      <c r="B81" s="11" t="s">
        <v>273</v>
      </c>
      <c r="C81" s="11" t="s">
        <v>319</v>
      </c>
      <c r="D81" s="12" t="s">
        <v>38</v>
      </c>
      <c r="E81" s="11" t="s">
        <v>320</v>
      </c>
      <c r="F81" s="12" t="s">
        <v>163</v>
      </c>
      <c r="G81" s="12" t="s">
        <v>41</v>
      </c>
      <c r="H81" s="12" t="s">
        <v>42</v>
      </c>
      <c r="I81" s="11" t="s">
        <v>164</v>
      </c>
    </row>
    <row r="82" customFormat="false" ht="30" hidden="false" customHeight="true" outlineLevel="0" collapsed="false">
      <c r="A82" s="10" t="s">
        <v>321</v>
      </c>
      <c r="B82" s="11" t="s">
        <v>273</v>
      </c>
      <c r="C82" s="11" t="s">
        <v>322</v>
      </c>
      <c r="D82" s="12" t="s">
        <v>38</v>
      </c>
      <c r="E82" s="11" t="s">
        <v>323</v>
      </c>
      <c r="F82" s="12" t="s">
        <v>324</v>
      </c>
      <c r="G82" s="13" t="s">
        <v>38</v>
      </c>
      <c r="H82" s="12" t="s">
        <v>66</v>
      </c>
      <c r="I82" s="11" t="s">
        <v>194</v>
      </c>
    </row>
    <row r="83" customFormat="false" ht="30" hidden="false" customHeight="true" outlineLevel="0" collapsed="false">
      <c r="A83" s="10" t="s">
        <v>325</v>
      </c>
      <c r="B83" s="11" t="s">
        <v>273</v>
      </c>
      <c r="C83" s="11" t="s">
        <v>326</v>
      </c>
      <c r="D83" s="12" t="s">
        <v>38</v>
      </c>
      <c r="E83" s="11" t="s">
        <v>327</v>
      </c>
      <c r="F83" s="12" t="s">
        <v>328</v>
      </c>
      <c r="G83" s="13" t="s">
        <v>38</v>
      </c>
      <c r="H83" s="12" t="s">
        <v>66</v>
      </c>
      <c r="I83" s="11" t="s">
        <v>194</v>
      </c>
    </row>
    <row r="84" customFormat="false" ht="30" hidden="false" customHeight="true" outlineLevel="0" collapsed="false">
      <c r="A84" s="10" t="s">
        <v>329</v>
      </c>
      <c r="B84" s="11" t="s">
        <v>273</v>
      </c>
      <c r="C84" s="11" t="s">
        <v>330</v>
      </c>
      <c r="D84" s="12" t="s">
        <v>38</v>
      </c>
      <c r="E84" s="11" t="s">
        <v>331</v>
      </c>
      <c r="F84" s="12" t="s">
        <v>40</v>
      </c>
      <c r="G84" s="12" t="s">
        <v>41</v>
      </c>
      <c r="H84" s="12" t="s">
        <v>42</v>
      </c>
      <c r="I84" s="11" t="s">
        <v>194</v>
      </c>
    </row>
    <row r="85" customFormat="false" ht="30" hidden="false" customHeight="true" outlineLevel="0" collapsed="false">
      <c r="A85" s="10" t="s">
        <v>332</v>
      </c>
      <c r="B85" s="11" t="s">
        <v>273</v>
      </c>
      <c r="C85" s="11" t="s">
        <v>333</v>
      </c>
      <c r="D85" s="12" t="s">
        <v>38</v>
      </c>
      <c r="E85" s="11" t="s">
        <v>334</v>
      </c>
      <c r="F85" s="12" t="s">
        <v>153</v>
      </c>
      <c r="G85" s="12" t="s">
        <v>41</v>
      </c>
      <c r="H85" s="12" t="s">
        <v>52</v>
      </c>
      <c r="I85" s="11" t="s">
        <v>91</v>
      </c>
    </row>
    <row r="86" customFormat="false" ht="30" hidden="false" customHeight="true" outlineLevel="0" collapsed="false">
      <c r="A86" s="10" t="s">
        <v>335</v>
      </c>
      <c r="B86" s="11" t="s">
        <v>273</v>
      </c>
      <c r="C86" s="11" t="s">
        <v>336</v>
      </c>
      <c r="D86" s="12" t="s">
        <v>38</v>
      </c>
      <c r="E86" s="11" t="s">
        <v>337</v>
      </c>
      <c r="F86" s="12" t="s">
        <v>117</v>
      </c>
      <c r="G86" s="12" t="s">
        <v>41</v>
      </c>
      <c r="H86" s="12" t="s">
        <v>52</v>
      </c>
      <c r="I86" s="11" t="s">
        <v>77</v>
      </c>
    </row>
    <row r="87" customFormat="false" ht="42" hidden="false" customHeight="true" outlineLevel="0" collapsed="false">
      <c r="A87" s="10" t="s">
        <v>338</v>
      </c>
      <c r="B87" s="11" t="s">
        <v>273</v>
      </c>
      <c r="C87" s="11" t="s">
        <v>339</v>
      </c>
      <c r="D87" s="12" t="s">
        <v>38</v>
      </c>
      <c r="E87" s="11" t="s">
        <v>340</v>
      </c>
      <c r="F87" s="12" t="s">
        <v>153</v>
      </c>
      <c r="G87" s="12" t="s">
        <v>41</v>
      </c>
      <c r="H87" s="12" t="s">
        <v>42</v>
      </c>
      <c r="I87" s="11" t="s">
        <v>194</v>
      </c>
    </row>
    <row r="88" customFormat="false" ht="30" hidden="false" customHeight="true" outlineLevel="0" collapsed="false">
      <c r="A88" s="10" t="s">
        <v>341</v>
      </c>
      <c r="B88" s="11" t="s">
        <v>273</v>
      </c>
      <c r="C88" s="11" t="s">
        <v>342</v>
      </c>
      <c r="D88" s="12" t="s">
        <v>38</v>
      </c>
      <c r="E88" s="11" t="s">
        <v>343</v>
      </c>
      <c r="F88" s="12" t="s">
        <v>76</v>
      </c>
      <c r="G88" s="12" t="s">
        <v>41</v>
      </c>
      <c r="H88" s="12" t="s">
        <v>42</v>
      </c>
      <c r="I88" s="11" t="s">
        <v>194</v>
      </c>
    </row>
    <row r="89" customFormat="false" ht="42" hidden="false" customHeight="true" outlineLevel="0" collapsed="false">
      <c r="A89" s="10" t="s">
        <v>344</v>
      </c>
      <c r="B89" s="11" t="s">
        <v>273</v>
      </c>
      <c r="C89" s="11" t="s">
        <v>345</v>
      </c>
      <c r="D89" s="12" t="s">
        <v>38</v>
      </c>
      <c r="E89" s="11" t="s">
        <v>346</v>
      </c>
      <c r="F89" s="12" t="s">
        <v>347</v>
      </c>
      <c r="G89" s="12" t="s">
        <v>41</v>
      </c>
      <c r="H89" s="12" t="s">
        <v>52</v>
      </c>
      <c r="I89" s="11" t="s">
        <v>194</v>
      </c>
    </row>
    <row r="90" customFormat="false" ht="30" hidden="false" customHeight="true" outlineLevel="0" collapsed="false">
      <c r="A90" s="10" t="s">
        <v>348</v>
      </c>
      <c r="B90" s="11" t="s">
        <v>273</v>
      </c>
      <c r="C90" s="11" t="s">
        <v>349</v>
      </c>
      <c r="D90" s="12" t="s">
        <v>38</v>
      </c>
      <c r="E90" s="11" t="s">
        <v>350</v>
      </c>
      <c r="F90" s="12" t="s">
        <v>207</v>
      </c>
      <c r="G90" s="12" t="s">
        <v>41</v>
      </c>
      <c r="H90" s="12" t="s">
        <v>66</v>
      </c>
      <c r="I90" s="11" t="s">
        <v>86</v>
      </c>
    </row>
    <row r="91" customFormat="false" ht="30" hidden="false" customHeight="true" outlineLevel="0" collapsed="false">
      <c r="A91" s="10" t="s">
        <v>351</v>
      </c>
      <c r="B91" s="11" t="s">
        <v>273</v>
      </c>
      <c r="C91" s="11" t="s">
        <v>352</v>
      </c>
      <c r="D91" s="12" t="s">
        <v>38</v>
      </c>
      <c r="E91" s="11" t="s">
        <v>353</v>
      </c>
      <c r="F91" s="12" t="s">
        <v>354</v>
      </c>
      <c r="G91" s="12" t="s">
        <v>41</v>
      </c>
      <c r="H91" s="12" t="s">
        <v>42</v>
      </c>
      <c r="I91" s="11" t="s">
        <v>194</v>
      </c>
    </row>
    <row r="92" customFormat="false" ht="30" hidden="false" customHeight="true" outlineLevel="0" collapsed="false">
      <c r="A92" s="10" t="s">
        <v>355</v>
      </c>
      <c r="B92" s="11" t="s">
        <v>273</v>
      </c>
      <c r="C92" s="11" t="s">
        <v>356</v>
      </c>
      <c r="D92" s="12" t="s">
        <v>38</v>
      </c>
      <c r="E92" s="11" t="s">
        <v>357</v>
      </c>
      <c r="F92" s="12" t="s">
        <v>358</v>
      </c>
      <c r="G92" s="12" t="s">
        <v>41</v>
      </c>
      <c r="H92" s="12" t="s">
        <v>52</v>
      </c>
      <c r="I92" s="11" t="s">
        <v>77</v>
      </c>
    </row>
    <row r="93" customFormat="false" ht="42" hidden="false" customHeight="true" outlineLevel="0" collapsed="false">
      <c r="A93" s="10" t="s">
        <v>359</v>
      </c>
      <c r="B93" s="11" t="s">
        <v>273</v>
      </c>
      <c r="C93" s="11" t="s">
        <v>360</v>
      </c>
      <c r="D93" s="12" t="s">
        <v>38</v>
      </c>
      <c r="E93" s="11" t="s">
        <v>361</v>
      </c>
      <c r="F93" s="12" t="s">
        <v>362</v>
      </c>
      <c r="G93" s="13" t="s">
        <v>38</v>
      </c>
      <c r="H93" s="12" t="s">
        <v>66</v>
      </c>
      <c r="I93" s="11" t="s">
        <v>77</v>
      </c>
    </row>
    <row r="94" customFormat="false" ht="30" hidden="false" customHeight="true" outlineLevel="0" collapsed="false">
      <c r="A94" s="10" t="s">
        <v>363</v>
      </c>
      <c r="B94" s="11" t="s">
        <v>273</v>
      </c>
      <c r="C94" s="11" t="s">
        <v>364</v>
      </c>
      <c r="D94" s="12" t="s">
        <v>38</v>
      </c>
      <c r="E94" s="11" t="s">
        <v>365</v>
      </c>
      <c r="F94" s="12" t="s">
        <v>76</v>
      </c>
      <c r="G94" s="12" t="s">
        <v>41</v>
      </c>
      <c r="H94" s="12" t="s">
        <v>52</v>
      </c>
      <c r="I94" s="11" t="s">
        <v>77</v>
      </c>
    </row>
    <row r="95" customFormat="false" ht="42" hidden="false" customHeight="true" outlineLevel="0" collapsed="false">
      <c r="A95" s="10" t="s">
        <v>366</v>
      </c>
      <c r="B95" s="11" t="s">
        <v>273</v>
      </c>
      <c r="C95" s="11" t="s">
        <v>367</v>
      </c>
      <c r="D95" s="12" t="s">
        <v>38</v>
      </c>
      <c r="E95" s="11" t="s">
        <v>368</v>
      </c>
      <c r="F95" s="12" t="s">
        <v>358</v>
      </c>
      <c r="G95" s="13" t="s">
        <v>38</v>
      </c>
      <c r="H95" s="12" t="s">
        <v>66</v>
      </c>
      <c r="I95" s="11" t="s">
        <v>77</v>
      </c>
    </row>
    <row r="96" customFormat="false" ht="30" hidden="false" customHeight="true" outlineLevel="0" collapsed="false">
      <c r="A96" s="10" t="s">
        <v>369</v>
      </c>
      <c r="B96" s="11" t="s">
        <v>273</v>
      </c>
      <c r="C96" s="11" t="s">
        <v>370</v>
      </c>
      <c r="D96" s="12" t="s">
        <v>38</v>
      </c>
      <c r="E96" s="11" t="s">
        <v>371</v>
      </c>
      <c r="F96" s="12" t="s">
        <v>76</v>
      </c>
      <c r="G96" s="13" t="s">
        <v>38</v>
      </c>
      <c r="H96" s="12" t="s">
        <v>66</v>
      </c>
      <c r="I96" s="11" t="s">
        <v>77</v>
      </c>
    </row>
    <row r="97" customFormat="false" ht="42" hidden="false" customHeight="true" outlineLevel="0" collapsed="false">
      <c r="A97" s="10" t="s">
        <v>372</v>
      </c>
      <c r="B97" s="11" t="s">
        <v>273</v>
      </c>
      <c r="C97" s="11" t="s">
        <v>373</v>
      </c>
      <c r="D97" s="13" t="s">
        <v>244</v>
      </c>
      <c r="E97" s="11" t="s">
        <v>374</v>
      </c>
      <c r="F97" s="12" t="s">
        <v>41</v>
      </c>
      <c r="G97" s="12" t="s">
        <v>41</v>
      </c>
      <c r="H97" s="12" t="s">
        <v>246</v>
      </c>
      <c r="I97" s="11" t="s">
        <v>41</v>
      </c>
    </row>
    <row r="98" customFormat="false" ht="30" hidden="false" customHeight="true" outlineLevel="0" collapsed="false">
      <c r="A98" s="10" t="s">
        <v>375</v>
      </c>
      <c r="B98" s="11" t="s">
        <v>273</v>
      </c>
      <c r="C98" s="11" t="s">
        <v>376</v>
      </c>
      <c r="D98" s="12" t="s">
        <v>38</v>
      </c>
      <c r="E98" s="11" t="s">
        <v>377</v>
      </c>
      <c r="F98" s="12" t="s">
        <v>378</v>
      </c>
      <c r="G98" s="12" t="s">
        <v>41</v>
      </c>
      <c r="H98" s="12" t="s">
        <v>42</v>
      </c>
      <c r="I98" s="11" t="s">
        <v>77</v>
      </c>
    </row>
    <row r="99" customFormat="false" ht="30" hidden="false" customHeight="true" outlineLevel="0" collapsed="false">
      <c r="A99" s="10" t="s">
        <v>379</v>
      </c>
      <c r="B99" s="11" t="s">
        <v>273</v>
      </c>
      <c r="C99" s="11" t="s">
        <v>380</v>
      </c>
      <c r="D99" s="12" t="s">
        <v>38</v>
      </c>
      <c r="E99" s="11" t="s">
        <v>381</v>
      </c>
      <c r="F99" s="12" t="s">
        <v>382</v>
      </c>
      <c r="G99" s="13" t="s">
        <v>38</v>
      </c>
      <c r="H99" s="12" t="s">
        <v>66</v>
      </c>
      <c r="I99" s="11" t="s">
        <v>77</v>
      </c>
    </row>
    <row r="100" customFormat="false" ht="30" hidden="false" customHeight="true" outlineLevel="0" collapsed="false">
      <c r="A100" s="10" t="s">
        <v>383</v>
      </c>
      <c r="B100" s="11" t="s">
        <v>273</v>
      </c>
      <c r="C100" s="11" t="s">
        <v>384</v>
      </c>
      <c r="D100" s="12" t="s">
        <v>38</v>
      </c>
      <c r="E100" s="11" t="s">
        <v>385</v>
      </c>
      <c r="F100" s="12" t="s">
        <v>61</v>
      </c>
      <c r="G100" s="12" t="s">
        <v>41</v>
      </c>
      <c r="H100" s="12" t="s">
        <v>52</v>
      </c>
      <c r="I100" s="11" t="s">
        <v>77</v>
      </c>
    </row>
    <row r="101" customFormat="false" ht="30" hidden="false" customHeight="true" outlineLevel="0" collapsed="false">
      <c r="A101" s="10" t="s">
        <v>386</v>
      </c>
      <c r="B101" s="11" t="s">
        <v>273</v>
      </c>
      <c r="C101" s="11" t="s">
        <v>387</v>
      </c>
      <c r="D101" s="12" t="s">
        <v>38</v>
      </c>
      <c r="E101" s="11" t="s">
        <v>388</v>
      </c>
      <c r="F101" s="12" t="s">
        <v>40</v>
      </c>
      <c r="G101" s="12" t="s">
        <v>41</v>
      </c>
      <c r="H101" s="12" t="s">
        <v>42</v>
      </c>
      <c r="I101" s="11" t="s">
        <v>77</v>
      </c>
    </row>
  </sheetData>
  <autoFilter ref="A4:I101"/>
  <mergeCells count="4">
    <mergeCell ref="A5:I5"/>
    <mergeCell ref="A43:I43"/>
    <mergeCell ref="A52:I52"/>
    <mergeCell ref="A67:I67"/>
  </mergeCells>
  <conditionalFormatting sqref="H5:H101">
    <cfRule type="cellIs" priority="2" operator="equal" aboveAverage="0" equalAverage="0" bottom="0" percent="0" rank="0" text="" dxfId="13">
      <formula>"Mise en œuvre"</formula>
    </cfRule>
    <cfRule type="cellIs" priority="3" operator="equal" aboveAverage="0" equalAverage="0" bottom="0" percent="0" rank="0" text="" dxfId="14">
      <formula>"Partielle"</formula>
    </cfRule>
    <cfRule type="cellIs" priority="4" operator="equal" aboveAverage="0" equalAverage="0" bottom="0" percent="0" rank="0" text="" dxfId="15">
      <formula>"Planifiée"</formula>
    </cfRule>
    <cfRule type="cellIs" priority="5" operator="equal" aboveAverage="0" equalAverage="0" bottom="0" percent="0" rank="0" text="" dxfId="16">
      <formula>"Non applicable"</formula>
    </cfRule>
  </conditionalFormatting>
  <dataValidations count="1">
    <dataValidation allowBlank="false" errorStyle="stop" operator="between" showDropDown="false" showErrorMessage="true" showInputMessage="false" sqref="H5:H101" type="list">
      <formula1>"Mise en œuvre,Partielle,Planifiée,Non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4"/>
  </cols>
  <sheetData>
    <row r="1" customFormat="false" ht="16.15" hidden="false" customHeight="false" outlineLevel="0" collapsed="false">
      <c r="A1" s="6" t="s">
        <v>389</v>
      </c>
    </row>
    <row r="3" customFormat="false" ht="15" hidden="false" customHeight="false" outlineLevel="0" collapsed="false">
      <c r="A3" s="8" t="s">
        <v>30</v>
      </c>
      <c r="B3" s="8" t="s">
        <v>390</v>
      </c>
      <c r="C3" s="8" t="s">
        <v>391</v>
      </c>
      <c r="D3" s="8" t="s">
        <v>392</v>
      </c>
      <c r="E3" s="8" t="s">
        <v>42</v>
      </c>
      <c r="F3" s="8" t="s">
        <v>393</v>
      </c>
      <c r="G3" s="8" t="s">
        <v>394</v>
      </c>
      <c r="H3" s="8" t="s">
        <v>395</v>
      </c>
    </row>
    <row r="4" customFormat="false" ht="15" hidden="false" customHeight="false" outlineLevel="0" collapsed="false">
      <c r="A4" s="14" t="s">
        <v>396</v>
      </c>
      <c r="B4" s="12" t="n">
        <f aca="false">COUNTIF(DdA!$B$5:$B$101,"Organisationnelles")</f>
        <v>37</v>
      </c>
      <c r="C4" s="12" t="n">
        <f aca="false">COUNTIFS(DdA!$B$5:$B$101,"Organisationnelles",DdA!$D$5:$D$101,"Oui")</f>
        <v>37</v>
      </c>
      <c r="D4" s="12" t="n">
        <f aca="false">COUNTIFS(DdA!$B$5:$B$101,"Organisationnelles",DdA!$D$5:$D$101,"Non")</f>
        <v>0</v>
      </c>
      <c r="E4" s="12" t="n">
        <f aca="false">COUNTIFS(DdA!$B$5:$B$101,"Organisationnelles",DdA!$H$5:$H$101,"Mise en œuvre")</f>
        <v>8</v>
      </c>
      <c r="F4" s="12" t="n">
        <f aca="false">COUNTIFS(DdA!$B$5:$B$101,"Organisationnelles",DdA!$H$5:$H$101,"Partielle")</f>
        <v>9</v>
      </c>
      <c r="G4" s="12" t="n">
        <f aca="false">COUNTIFS(DdA!$B$5:$B$101,"Organisationnelles",DdA!$H$5:$H$101,"Planifiée")</f>
        <v>20</v>
      </c>
      <c r="H4" s="12" t="n">
        <f aca="false">COUNTIFS(DdA!$B$5:$B$101,"Organisationnelles",DdA!$G$5:$G$101,"Oui")</f>
        <v>9</v>
      </c>
    </row>
    <row r="5" customFormat="false" ht="15" hidden="false" customHeight="false" outlineLevel="0" collapsed="false">
      <c r="A5" s="14" t="s">
        <v>397</v>
      </c>
      <c r="B5" s="12" t="n">
        <f aca="false">COUNTIF(DdA!$B$5:$B$101,"Liées aux personnes")</f>
        <v>8</v>
      </c>
      <c r="C5" s="12" t="n">
        <f aca="false">COUNTIFS(DdA!$B$5:$B$101,"Liées aux personnes",DdA!$D$5:$D$101,"Oui")</f>
        <v>8</v>
      </c>
      <c r="D5" s="12" t="n">
        <f aca="false">COUNTIFS(DdA!$B$5:$B$101,"Liées aux personnes",DdA!$D$5:$D$101,"Non")</f>
        <v>0</v>
      </c>
      <c r="E5" s="12" t="n">
        <f aca="false">COUNTIFS(DdA!$B$5:$B$101,"Liées aux personnes",DdA!$H$5:$H$101,"Mise en œuvre")</f>
        <v>3</v>
      </c>
      <c r="F5" s="12" t="n">
        <f aca="false">COUNTIFS(DdA!$B$5:$B$101,"Liées aux personnes",DdA!$H$5:$H$101,"Partielle")</f>
        <v>2</v>
      </c>
      <c r="G5" s="12" t="n">
        <f aca="false">COUNTIFS(DdA!$B$5:$B$101,"Liées aux personnes",DdA!$H$5:$H$101,"Planifiée")</f>
        <v>3</v>
      </c>
      <c r="H5" s="12" t="n">
        <f aca="false">COUNTIFS(DdA!$B$5:$B$101,"Liées aux personnes",DdA!$G$5:$G$101,"Oui")</f>
        <v>3</v>
      </c>
    </row>
    <row r="6" customFormat="false" ht="15" hidden="false" customHeight="false" outlineLevel="0" collapsed="false">
      <c r="A6" s="14" t="s">
        <v>398</v>
      </c>
      <c r="B6" s="12" t="n">
        <f aca="false">COUNTIF(DdA!$B$5:$B$101,"Physiques")</f>
        <v>14</v>
      </c>
      <c r="C6" s="12" t="n">
        <f aca="false">COUNTIFS(DdA!$B$5:$B$101,"Physiques",DdA!$D$5:$D$101,"Oui")</f>
        <v>12</v>
      </c>
      <c r="D6" s="12" t="n">
        <f aca="false">COUNTIFS(DdA!$B$5:$B$101,"Physiques",DdA!$D$5:$D$101,"Non")</f>
        <v>2</v>
      </c>
      <c r="E6" s="12" t="n">
        <f aca="false">COUNTIFS(DdA!$B$5:$B$101,"Physiques",DdA!$H$5:$H$101,"Mise en œuvre")</f>
        <v>7</v>
      </c>
      <c r="F6" s="12" t="n">
        <f aca="false">COUNTIFS(DdA!$B$5:$B$101,"Physiques",DdA!$H$5:$H$101,"Partielle")</f>
        <v>4</v>
      </c>
      <c r="G6" s="12" t="n">
        <f aca="false">COUNTIFS(DdA!$B$5:$B$101,"Physiques",DdA!$H$5:$H$101,"Planifiée")</f>
        <v>1</v>
      </c>
      <c r="H6" s="12" t="n">
        <f aca="false">COUNTIFS(DdA!$B$5:$B$101,"Physiques",DdA!$G$5:$G$101,"Oui")</f>
        <v>1</v>
      </c>
    </row>
    <row r="7" customFormat="false" ht="15" hidden="false" customHeight="false" outlineLevel="0" collapsed="false">
      <c r="A7" s="14" t="s">
        <v>399</v>
      </c>
      <c r="B7" s="12" t="n">
        <f aca="false">COUNTIF(DdA!$B$5:$B$101,"Technologiques")</f>
        <v>34</v>
      </c>
      <c r="C7" s="12" t="n">
        <f aca="false">COUNTIFS(DdA!$B$5:$B$101,"Technologiques",DdA!$D$5:$D$101,"Oui")</f>
        <v>33</v>
      </c>
      <c r="D7" s="12" t="n">
        <f aca="false">COUNTIFS(DdA!$B$5:$B$101,"Technologiques",DdA!$D$5:$D$101,"Non")</f>
        <v>1</v>
      </c>
      <c r="E7" s="12" t="n">
        <f aca="false">COUNTIFS(DdA!$B$5:$B$101,"Technologiques",DdA!$H$5:$H$101,"Mise en œuvre")</f>
        <v>8</v>
      </c>
      <c r="F7" s="12" t="n">
        <f aca="false">COUNTIFS(DdA!$B$5:$B$101,"Technologiques",DdA!$H$5:$H$101,"Partielle")</f>
        <v>10</v>
      </c>
      <c r="G7" s="12" t="n">
        <f aca="false">COUNTIFS(DdA!$B$5:$B$101,"Technologiques",DdA!$H$5:$H$101,"Planifiée")</f>
        <v>15</v>
      </c>
      <c r="H7" s="12" t="n">
        <f aca="false">COUNTIFS(DdA!$B$5:$B$101,"Technologiques",DdA!$G$5:$G$101,"Oui")</f>
        <v>15</v>
      </c>
    </row>
    <row r="8" customFormat="false" ht="15" hidden="false" customHeight="false" outlineLevel="0" collapsed="false">
      <c r="A8" s="2" t="s">
        <v>400</v>
      </c>
      <c r="B8" s="10" t="n">
        <f aca="false">SUM(B4:B7)</f>
        <v>93</v>
      </c>
      <c r="C8" s="10" t="n">
        <f aca="false">SUM(C4:C7)</f>
        <v>90</v>
      </c>
      <c r="D8" s="10" t="n">
        <f aca="false">SUM(D4:D7)</f>
        <v>3</v>
      </c>
      <c r="E8" s="10" t="n">
        <f aca="false">SUM(E4:E7)</f>
        <v>26</v>
      </c>
      <c r="F8" s="10" t="n">
        <f aca="false">SUM(F4:F7)</f>
        <v>25</v>
      </c>
      <c r="G8" s="10" t="n">
        <f aca="false">SUM(G4:G7)</f>
        <v>39</v>
      </c>
      <c r="H8" s="10" t="n">
        <f aca="false">SUM(H4:H7)</f>
        <v>28</v>
      </c>
    </row>
    <row r="10" customFormat="false" ht="15" hidden="false" customHeight="false" outlineLevel="0" collapsed="false">
      <c r="A10" s="2" t="s">
        <v>401</v>
      </c>
      <c r="B10" s="15" t="n">
        <f aca="false">E8/C8</f>
        <v>0.288888888888889</v>
      </c>
    </row>
    <row r="11" customFormat="false" ht="15" hidden="false" customHeight="false" outlineLevel="0" collapsed="false">
      <c r="A11" s="2" t="s">
        <v>402</v>
      </c>
      <c r="B11" s="15" t="n">
        <f aca="false">(E8+F8)/C8</f>
        <v>0.566666666666667</v>
      </c>
    </row>
    <row r="13" customFormat="false" ht="15" hidden="false" customHeight="false" outlineLevel="0" collapsed="false">
      <c r="A13" s="7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2026-09-26T23:54:18Z</dcterms:created>
  <dc:creator>openpyxl</dc:creator>
  <dc:description/>
  <dc:language>en-US</dc:language>
  <cp:lastModifiedBy/>
  <dcterms:modified xsi:type="dcterms:W3CDTF">2026-09-26T23:54:18Z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