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Échelles" sheetId="2" state="visible" r:id="rId4"/>
    <sheet name="Registre" sheetId="3" state="visible" r:id="rId5"/>
    <sheet name="Cartographie" sheetId="4" state="visible" r:id="rId6"/>
    <sheet name="Mesures prioritaires" sheetId="5" state="visible" r:id="rId7"/>
  </sheets>
  <definedNames>
    <definedName function="false" hidden="true" localSheetId="2" name="_xlnm._FilterDatabase" vbProcedure="false">Registre!$A$4:$Z$16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<sst xmlns="http://schemas.openxmlformats.org/spreadsheetml/2006/main" count="462" uniqueCount="373">
  <si>
    <t xml:space="preserve">Registre des risques — NotAge</t>
  </si>
  <si>
    <t xml:space="preserve">Référence</t>
  </si>
  <si>
    <t xml:space="preserve">NTG-SMSI-RSK-002</t>
  </si>
  <si>
    <t xml:space="preserve">Version</t>
  </si>
  <si>
    <t xml:space="preserve">1.0</t>
  </si>
  <si>
    <t xml:space="preserve">Date</t>
  </si>
  <si>
    <t xml:space="preserve">27/09/2026</t>
  </si>
  <si>
    <t xml:space="preserve">Propriétaire</t>
  </si>
  <si>
    <t xml:space="preserve">RSSI</t>
  </si>
  <si>
    <t xml:space="preserve">Approbateur</t>
  </si>
  <si>
    <t xml:space="preserve">Direction générale (CEO)</t>
  </si>
  <si>
    <t xml:space="preserve">Classification</t>
  </si>
  <si>
    <t xml:space="preserve">Confidentiel (publié à titre de démonstration, entreprise fictive)</t>
  </si>
  <si>
    <t xml:space="preserve">Méthode</t>
  </si>
  <si>
    <t xml:space="preserve">ISO/IEC 27005:2022 — voir NTG-SMSI-RSK-001</t>
  </si>
  <si>
    <t xml:space="preserve">Exigences couvertes</t>
  </si>
  <si>
    <t xml:space="preserve">ISO/IEC 27001:2022, articles 6.1.2 et 8.2</t>
  </si>
  <si>
    <t xml:space="preserve">Mode d'emploi</t>
  </si>
  <si>
    <t xml:space="preserve">Feuille Échelles</t>
  </si>
  <si>
    <t xml:space="preserve">Échelles de gravité et de vraisemblance, matrice des niveaux de risque et critères d'acceptation.</t>
  </si>
  <si>
    <t xml:space="preserve">Feuille Registre</t>
  </si>
  <si>
    <t xml:space="preserve">Les 12 scénarios de risque. Chaque ligne décrit la source, le scénario, les actifs concernés, les vulnérabilités, les mesures existantes et l'évaluation.</t>
  </si>
  <si>
    <t xml:space="preserve">Cellules à saisir</t>
  </si>
  <si>
    <t xml:space="preserve">Gravité (G) et vraisemblance (V), en bleu : valeurs entières de 1 à 4. Toute autre valeur est refusée.</t>
  </si>
  <si>
    <t xml:space="preserve">Cellules calculées</t>
  </si>
  <si>
    <t xml:space="preserve">Niveau de risque = G × V (de 1 à 16) et zone (Faible, Modéré, Élevé, Critique) : formules, ne pas saisir.</t>
  </si>
  <si>
    <t xml:space="preserve">Feuille Cartographie</t>
  </si>
  <si>
    <t xml:space="preserve">Nombre de scénarios par case de la matrice et par zone, recalculé automatiquement.</t>
  </si>
  <si>
    <t xml:space="preserve">Risque initial</t>
  </si>
  <si>
    <t xml:space="preserve">Niveau évalué en tenant compte des mesures déjà en place en septembre 2026, avant tout traitement.</t>
  </si>
  <si>
    <t xml:space="preserve">Échelle de gravité (G)</t>
  </si>
  <si>
    <t xml:space="preserve">Niveau</t>
  </si>
  <si>
    <t xml:space="preserve">Libellé</t>
  </si>
  <si>
    <t xml:space="preserve">Financier</t>
  </si>
  <si>
    <t xml:space="preserve">Clients et contrats</t>
  </si>
  <si>
    <t xml:space="preserve">Juridique et réglementaire</t>
  </si>
  <si>
    <t xml:space="preserve">Image et opérations</t>
  </si>
  <si>
    <t xml:space="preserve">Mineure</t>
  </si>
  <si>
    <t xml:space="preserve">Moins de 10 k€</t>
  </si>
  <si>
    <t xml:space="preserve">Aucun client affecté de façon notable</t>
  </si>
  <si>
    <t xml:space="preserve">Aucune conséquence</t>
  </si>
  <si>
    <t xml:space="preserve">Gêne interne, sans effet visible</t>
  </si>
  <si>
    <t xml:space="preserve">Significative</t>
  </si>
  <si>
    <t xml:space="preserve">10 à 100 k€</t>
  </si>
  <si>
    <t xml:space="preserve">Quelques clients gênés, interruption de moins de 4 h hors clôture</t>
  </si>
  <si>
    <t xml:space="preserve">Aucune notification requise</t>
  </si>
  <si>
    <t xml:space="preserve">Mécontentement ponctuel</t>
  </si>
  <si>
    <t xml:space="preserve">Grave</t>
  </si>
  <si>
    <t xml:space="preserve">100 k€ à 1 M€</t>
  </si>
  <si>
    <t xml:space="preserve">Plusieurs clients affectés, interruption de 4 à 24 h ou en clôture, manquement contractuel</t>
  </si>
  <si>
    <t xml:space="preserve">Violation de données notifiable de portée limitée</t>
  </si>
  <si>
    <t xml:space="preserve">Plaintes, couverture médiatique locale</t>
  </si>
  <si>
    <t xml:space="preserve">Critique</t>
  </si>
  <si>
    <t xml:space="preserve">Plus de 1 M€</t>
  </si>
  <si>
    <t xml:space="preserve">Perte d'un client majeur, interruption de plus de 24 h</t>
  </si>
  <si>
    <t xml:space="preserve">Violation massive, sanction de la CNIL</t>
  </si>
  <si>
    <t xml:space="preserve">Atteinte durable à la réputation, pérennité menacée</t>
  </si>
  <si>
    <t xml:space="preserve">La gravité retenue est la plus élevée parmi les quatre dimensions.</t>
  </si>
  <si>
    <t xml:space="preserve">Échelle de vraisemblance (V)</t>
  </si>
  <si>
    <t xml:space="preserve">Définition</t>
  </si>
  <si>
    <t xml:space="preserve">Peu vraisemblable</t>
  </si>
  <si>
    <t xml:space="preserve">Source de risque peu motivée ou peu capable, mesures existantes solides. Non attendu sur les trois prochaines années.</t>
  </si>
  <si>
    <t xml:space="preserve">Vraisemblable</t>
  </si>
  <si>
    <t xml:space="preserve">Scénario déjà observé dans le secteur, mais qui suppose des moyens ou des circonstances particuliers. Possible sur trois ans.</t>
  </si>
  <si>
    <t xml:space="preserve">Très vraisemblable</t>
  </si>
  <si>
    <t xml:space="preserve">Menace active contre ce type d'entreprise, vulnérabilités connues, peu de mesures. Attendu dans l'année.</t>
  </si>
  <si>
    <t xml:space="preserve">Quasi certain</t>
  </si>
  <si>
    <t xml:space="preserve">Se produit déjà, ou plusieurs fois par an.</t>
  </si>
  <si>
    <t xml:space="preserve">Matrice des niveaux de risque (niveau = G × V)</t>
  </si>
  <si>
    <t xml:space="preserve">V \ G</t>
  </si>
  <si>
    <t xml:space="preserve">Zones et critères d'acceptation</t>
  </si>
  <si>
    <t xml:space="preserve">Zone</t>
  </si>
  <si>
    <t xml:space="preserve">Décision attendue</t>
  </si>
  <si>
    <t xml:space="preserve">Qui peut accepter le risque résiduel</t>
  </si>
  <si>
    <t xml:space="preserve">12 à 16</t>
  </si>
  <si>
    <t xml:space="preserve">Traitement prioritaire obligatoire, plan d'action sous 3 mois</t>
  </si>
  <si>
    <t xml:space="preserve">Non acceptable en l'état</t>
  </si>
  <si>
    <t xml:space="preserve">8 à 9</t>
  </si>
  <si>
    <t xml:space="preserve">Élevé</t>
  </si>
  <si>
    <t xml:space="preserve">Traitement requis, plan d'action sous 6 mois</t>
  </si>
  <si>
    <t xml:space="preserve">Direction générale uniquement, avec justification écrite</t>
  </si>
  <si>
    <t xml:space="preserve">4 à 6</t>
  </si>
  <si>
    <t xml:space="preserve">Modéré</t>
  </si>
  <si>
    <t xml:space="preserve">Traitement si le coût est raisonnable, sinon acceptation</t>
  </si>
  <si>
    <t xml:space="preserve">Propriétaire du risque</t>
  </si>
  <si>
    <t xml:space="preserve">1 à 3</t>
  </si>
  <si>
    <t xml:space="preserve">Faible</t>
  </si>
  <si>
    <t xml:space="preserve">Acceptation, surveillance lors de la revue annuelle</t>
  </si>
  <si>
    <t xml:space="preserve">Critère d'acceptation cible : tout risque résiduel doit être au plus Modéré (≤ 6), ou Élevé avec acceptation écrite de la direction.</t>
  </si>
  <si>
    <t xml:space="preserve">Registre des risques NotAge — appréciation et traitement (septembre 2026)</t>
  </si>
  <si>
    <t xml:space="preserve">Saisir uniquement les G et V initiaux et résiduels (en bleu, de 1 à 4). Niveaux et zones sont calculés. Méthode : NTG-SMSI-RSK-001 ; plan : NTG-SMSI-RSK-004.</t>
  </si>
  <si>
    <t xml:space="preserve">APPRÉCIATION DU RISQUE INITIAL</t>
  </si>
  <si>
    <t xml:space="preserve">TRAITEMENT ET RISQUE RÉSIDUEL</t>
  </si>
  <si>
    <t xml:space="preserve">ID</t>
  </si>
  <si>
    <t xml:space="preserve">Scénario</t>
  </si>
  <si>
    <t xml:space="preserve">Source de risque</t>
  </si>
  <si>
    <t xml:space="preserve">Description du scénario</t>
  </si>
  <si>
    <t xml:space="preserve">Actifs primordiaux</t>
  </si>
  <si>
    <t xml:space="preserve">Actifs supports</t>
  </si>
  <si>
    <t xml:space="preserve">Critère DIC</t>
  </si>
  <si>
    <t xml:space="preserve">Vulnérabilités</t>
  </si>
  <si>
    <t xml:space="preserve">Mesures existantes</t>
  </si>
  <si>
    <t xml:space="preserve">Gravité (G)</t>
  </si>
  <si>
    <t xml:space="preserve">Justification de la gravité</t>
  </si>
  <si>
    <t xml:space="preserve">Vraisemblance (V)</t>
  </si>
  <si>
    <t xml:space="preserve">Justification de la vraisemblance</t>
  </si>
  <si>
    <t xml:space="preserve">Niveau initial (G × V)</t>
  </si>
  <si>
    <t xml:space="preserve">Zone initiale</t>
  </si>
  <si>
    <t xml:space="preserve">Option de traitement</t>
  </si>
  <si>
    <t xml:space="preserve">Mesures de l'annexe A</t>
  </si>
  <si>
    <t xml:space="preserve">Actions principales</t>
  </si>
  <si>
    <t xml:space="preserve">Responsable de la mise en œuvre</t>
  </si>
  <si>
    <t xml:space="preserve">Échéance</t>
  </si>
  <si>
    <t xml:space="preserve">G résiduelle</t>
  </si>
  <si>
    <t xml:space="preserve">V résiduelle</t>
  </si>
  <si>
    <t xml:space="preserve">Niveau résiduel</t>
  </si>
  <si>
    <t xml:space="preserve">Zone résiduelle</t>
  </si>
  <si>
    <t xml:space="preserve">Acceptation du risque résiduel</t>
  </si>
  <si>
    <t xml:space="preserve">R01</t>
  </si>
  <si>
    <t xml:space="preserve">Détournement de paiements par modification frauduleuse d'un IBAN fournisseur</t>
  </si>
  <si>
    <t xml:space="preserve">Groupe cybercriminel spécialisé dans la fraude au virement</t>
  </si>
  <si>
    <t xml:space="preserve">L'attaquant obtient les identifiants d'un utilisateur d'une entreprise cliente (hameçonnage ou mot de passe réutilisé), se connecte à NotAge et remplace l'IBAN d'un fournisseur. Le fichier de virement suivant, validé sans vérification particulière, envoie les paiements sur son compte.</t>
  </si>
  <si>
    <t xml:space="preserve">AP2, AP5</t>
  </si>
  <si>
    <t xml:space="preserve">AS04, AS06</t>
  </si>
  <si>
    <t xml:space="preserve">I</t>
  </si>
  <si>
    <t xml:space="preserve">Authentification multifacteur non imposée aux utilisateurs clients ; modification d'IBAN sans contrôle renforcé ni notification ; aucune détection des comportements anormaux</t>
  </si>
  <si>
    <t xml:space="preserve">Journal applicatif basique ; circuit de validation des factures (qui ne couvre pas le changement d'IBAN)</t>
  </si>
  <si>
    <t xml:space="preserve">Fraude pouvant atteindre plusieurs centaines de milliers d'euros chez un client, mise en cause de NotAge, perte probable du client</t>
  </si>
  <si>
    <t xml:space="preserve">Fraude très active en France, vecteur simple, aucune mesure ne bloque la modification</t>
  </si>
  <si>
    <t xml:space="preserve">CFO</t>
  </si>
  <si>
    <t xml:space="preserve">Réduire</t>
  </si>
  <si>
    <t xml:space="preserve">8.26, 8.5, 8.15, 8.16</t>
  </si>
  <si>
    <t xml:space="preserve">• Double validation de toute modification d'IBAN par deux utilisateurs distincts du client, avec notification au fournisseur et à l'administrateur du client (8.26)
• Authentification multifacteur obligatoire pour les rôles administrateur et valideur des clients, réauthentification avant toute action sensible (8.5)
• Journal inaltérable des modifications de coordonnées bancaires : auteur, date, ancienne et nouvelle valeur (8.15)
• Détection des comportements anormaux (connexion inhabituelle suivie d'un changement d'IBAN) avec alerte au client et au support (8.16)</t>
  </si>
  <si>
    <t xml:space="preserve">CTO</t>
  </si>
  <si>
    <t xml:space="preserve">31/12/2026</t>
  </si>
  <si>
    <t xml:space="preserve">Acceptée par le CFO</t>
  </si>
  <si>
    <t xml:space="preserve">R02</t>
  </si>
  <si>
    <t xml:space="preserve">Chiffrement ou destruction de la production par rançongiciel après compromission d'un compte administrateur AWS</t>
  </si>
  <si>
    <t xml:space="preserve">Groupe cybercriminel (rançongiciel)</t>
  </si>
  <si>
    <t xml:space="preserve">L'attaquant vole les accès de l'un des dix comptes à privilèges étendus (hameçonnage, clé d'accès exposée sur un poste). Il chiffre ou supprime les bases et le stockage, efface les sauvegardes accessibles avec les mêmes droits, puis exige une rançon.</t>
  </si>
  <si>
    <t xml:space="preserve">AP1 à AP5</t>
  </si>
  <si>
    <t xml:space="preserve">AS01, AS02, AS06, AS12</t>
  </si>
  <si>
    <t xml:space="preserve">D, I</t>
  </si>
  <si>
    <t xml:space="preserve">Droits d'administration étendus à dix personnes sans revue ; sauvegardes supprimables avec les mêmes droits et restauration jamais testée ; pas de surveillance centralisée ; pas de procédure de réponse aux incidents</t>
  </si>
  <si>
    <t xml:space="preserve">Authentification multifacteur sur la console via le SSO (pas sur les clés d'accès programmatiques) ; sauvegardes automatiques répliquées dans une autre région</t>
  </si>
  <si>
    <t xml:space="preserve">Arrêt complet du service pour tous les clients pendant plusieurs jours, perte de données possible, manquement contractuel généralisé</t>
  </si>
  <si>
    <t xml:space="preserve">Les rançongiciels ciblent massivement les PME ; dix comptes à privilèges sans revue multiplient les points d'entrée</t>
  </si>
  <si>
    <t xml:space="preserve">Réduire et partager</t>
  </si>
  <si>
    <t xml:space="preserve">8.2, 5.18, 8.5, 8.13, 8.16, 5.24, 5.26</t>
  </si>
  <si>
    <t xml:space="preserve">• Deux administrateurs permanents seulement, élévation temporaire de privilèges sur demande, suppression des clés d'accès de longue durée (8.2)
• Revue trimestrielle des droits d'accès à l'environnement AWS (5.18)
• Clés de sécurité physiques pour tous les comptes à privilèges (8.5)
• Sauvegardes chiffrées et immuables dans un compte AWS séparé, test de restauration chaque trimestre (8.13)
• Journalisation centralisée et alertes sur les actions sensibles : suppression, modification des droits (8.16)
• Procédure de gestion des incidents et exercice annuel de crise rançongiciel (5.24, 5.26)
• Partage : l'assurance cyber couvre une partie des pertes d'exploitation et des frais de réponse</t>
  </si>
  <si>
    <t xml:space="preserve">Responsable infrastructure</t>
  </si>
  <si>
    <t xml:space="preserve">Acceptée par le CTO</t>
  </si>
  <si>
    <t xml:space="preserve">R03</t>
  </si>
  <si>
    <t xml:space="preserve">Vol massif de données par exploitation d'une vulnérabilité de l'application</t>
  </si>
  <si>
    <t xml:space="preserve">Cybercriminels (revente de données, extorsion)</t>
  </si>
  <si>
    <t xml:space="preserve">Un attaquant exploite une vulnérabilité de l'application ou de l'API, par exemple un défaut de cloisonnement entre clients relevé lors du test d'intrusion de 2025 et non corrigé, pour extraire en masse justificatifs, identités et IBAN d'autres clients.</t>
  </si>
  <si>
    <t xml:space="preserve">AP1, AP3</t>
  </si>
  <si>
    <t xml:space="preserve">AS04, AS05</t>
  </si>
  <si>
    <t xml:space="preserve">C</t>
  </si>
  <si>
    <t xml:space="preserve">Vulnérabilités du test d'intrusion de 2025 pas toutes corrigées ; pas de processus de gestion des vulnérabilités ; pas de tests de sécurité automatisés dans la chaîne CI/CD ; pas de règles de codage sécurisé formalisées</t>
  </si>
  <si>
    <t xml:space="preserve">Revue de code systématique ; pare-feu applicatif</t>
  </si>
  <si>
    <t xml:space="preserve">Violation massive de données personnelles, notification par tous les clients à la CNIL, sanctions possibles, atteinte durable à l'image</t>
  </si>
  <si>
    <t xml:space="preserve">Vulnérabilités connues et non corrigées sur une application exposée sur Internet</t>
  </si>
  <si>
    <t xml:space="preserve">8.8, 8.28, 8.29</t>
  </si>
  <si>
    <t xml:space="preserve">• Correction de toutes les vulnérabilités critiques et élevées du test d'intrusion de 2025 avant fin 2026, puis délais de correction par criticité : 15 jours pour les critiques, 30 jours pour les élevées (8.8)
• Règles de codage sécurisé fondées sur l'OWASP, formation annuelle des développeurs, contrôle des dépendances (8.28)
• Analyse automatique du code et des dépendances dans la CI, test d'intrusion annuel ciblant le cloisonnement entre clients (8.29)</t>
  </si>
  <si>
    <t xml:space="preserve">31/12/2026 (corrections), 31/03/2027 (outillage)</t>
  </si>
  <si>
    <t xml:space="preserve">Risque résiduel élevé accepté par écrit par la direction générale jusqu'au test d'intrusion de mars 2027</t>
  </si>
  <si>
    <t xml:space="preserve">R04</t>
  </si>
  <si>
    <t xml:space="preserve">Exposition publique de justificatifs par erreur de configuration du stockage cloud</t>
  </si>
  <si>
    <t xml:space="preserve">Erreur interne non intentionnelle</t>
  </si>
  <si>
    <t xml:space="preserve">Lors d'une évolution, un espace de stockage de justificatifs ou un instantané de base de données est rendu accessible publiquement. L'exposition est découverte par un chercheur en sécurité ou par un attaquant qui scanne Internet.</t>
  </si>
  <si>
    <t xml:space="preserve">AP1</t>
  </si>
  <si>
    <t xml:space="preserve">AS01</t>
  </si>
  <si>
    <t xml:space="preserve">Pas de référentiel de configuration sécurisée ni de contrôle automatique des configurations ; infrastructure modifiée manuellement par plusieurs personnes ; aucune alerte en cas de changement risqué</t>
  </si>
  <si>
    <t xml:space="preserve">Chiffrement au repos (sans effet en cas d'exposition publique)</t>
  </si>
  <si>
    <t xml:space="preserve">Exposition potentielle de l'ensemble des justificatifs des utilisateurs, violation de données notifiable</t>
  </si>
  <si>
    <t xml:space="preserve">Erreur fréquente dans le secteur, mais qui suppose un changement de configuration malheureux</t>
  </si>
  <si>
    <t xml:space="preserve">8.9, 5.23, 8.16</t>
  </si>
  <si>
    <t xml:space="preserve">• Infrastructure décrite en code, configurations de référence (blocage de l'accès public, chiffrement), revue de chaque changement (8.9)
• Règles d'utilisation d'AWS : responsabilité partagée, services autorisés, contrôle continu de la posture de sécurité (5.23)
• Alerte immédiate en cas d'exposition publique d'une ressource (8.16)</t>
  </si>
  <si>
    <t xml:space="preserve">31/03/2027</t>
  </si>
  <si>
    <t xml:space="preserve">R05</t>
  </si>
  <si>
    <t xml:space="preserve">Injection de code malveillant ou vol de secrets via la chaîne de développement</t>
  </si>
  <si>
    <t xml:space="preserve">Cybercriminels (attaque de la chaîne d'approvisionnement logicielle)</t>
  </si>
  <si>
    <t xml:space="preserve">L'attaquant compromet le compte GitHub d'un développeur ou une dépendance tierce. Il fait déployer du code malveillant en production ou récupère les secrets de production présents dans le code et la chaîne CI/CD.</t>
  </si>
  <si>
    <t xml:space="preserve">AP6, AP4</t>
  </si>
  <si>
    <t xml:space="preserve">AS05, AS13</t>
  </si>
  <si>
    <t xml:space="preserve">I, C</t>
  </si>
  <si>
    <t xml:space="preserve">Secrets présents dans le code et les variables de la CI ; authentification multifacteur GitHub non imposée à tous ; dépendances et actions tierces non contrôlées ; protections de branches incomplètes</t>
  </si>
  <si>
    <t xml:space="preserve">Revue de code systématique avant fusion</t>
  </si>
  <si>
    <t xml:space="preserve">Code compromis distribué à tous les clients, accès complet à la production</t>
  </si>
  <si>
    <t xml:space="preserve">Attaques de ce type en forte hausse, mais plus exigeantes techniquement ; la revue de code freine l'injection directe</t>
  </si>
  <si>
    <t xml:space="preserve">8.4, 5.17, 8.32, 8.28</t>
  </si>
  <si>
    <t xml:space="preserve">• Authentification multifacteur obligatoire sur GitHub, accès au code selon le besoin, branches protégées (8.4)
• Retrait des secrets du code, stockage dans un coffre, rotation des secrets exposés, détection automatique dans la CI (5.17)
• Déploiement en production uniquement par la CI, après validation d'une seconde personne (8.32)
• Contrôle des dépendances et des actions tierces utilisées dans la CI (8.28)</t>
  </si>
  <si>
    <t xml:space="preserve">R06</t>
  </si>
  <si>
    <t xml:space="preserve">Consultation ou modification abusive de données clients par un membre du support</t>
  </si>
  <si>
    <t xml:space="preserve">Salarié malveillant ou manipulé (interne)</t>
  </si>
  <si>
    <t xml:space="preserve">Un agent du support, qui dispose d'un accès complet au back-office, consulte des données sans besoin (curiosité, revente) ou modifie des coordonnées à la demande d'un faux client (ingénierie sociale).</t>
  </si>
  <si>
    <t xml:space="preserve">AP1 à AP3</t>
  </si>
  <si>
    <t xml:space="preserve">AS14, AS04</t>
  </si>
  <si>
    <t xml:space="preserve">C, I</t>
  </si>
  <si>
    <t xml:space="preserve">Accès au back-office non limité aux dossiers traités ; IBAN affichés en clair ; consultations ni journalisées ni revues</t>
  </si>
  <si>
    <t xml:space="preserve">Clause de confidentialité dans les contrats de travail</t>
  </si>
  <si>
    <t xml:space="preserve">Atteinte aux données de plusieurs clients, possible complicité de fraude</t>
  </si>
  <si>
    <t xml:space="preserve">Équipe de huit personnes de confiance, mais aucune barrière technique ni traçabilité</t>
  </si>
  <si>
    <t xml:space="preserve">Responsable relation client</t>
  </si>
  <si>
    <t xml:space="preserve">8.3, 8.11, 8.15</t>
  </si>
  <si>
    <t xml:space="preserve">• Accès du support limité aux comptes des clients ayant ouvert une demande (8.3)
• IBAN masqués dans le back-office, seuls les quatre derniers caractères visibles (8.11)
• Journalisation des consultations et revue mensuelle par échantillonnage (8.15)</t>
  </si>
  <si>
    <t xml:space="preserve">Acceptée par le responsable relation client</t>
  </si>
  <si>
    <t xml:space="preserve">R07</t>
  </si>
  <si>
    <t xml:space="preserve">Utilisation du compte d'un ancien salarié resté actif</t>
  </si>
  <si>
    <t xml:space="preserve">Ancien salarié mécontent, ou attaquant réutilisant des identifiants</t>
  </si>
  <si>
    <t xml:space="preserve">Les comptes d'un salarié parti (Google Workspace, AWS, GitHub, outils SaaS) n'ont pas tous été désactivés. Ils sont utilisés pour accéder à des données internes ou clients.</t>
  </si>
  <si>
    <t xml:space="preserve">AP1, AP6, AP7</t>
  </si>
  <si>
    <t xml:space="preserve">AS06</t>
  </si>
  <si>
    <t xml:space="preserve">Départs gérés sans procédure ni liste des accès à retirer ; pas de revue périodique des comptes ; plusieurs outils SaaS hors du SSO</t>
  </si>
  <si>
    <t xml:space="preserve">Désactivation du compte Google à la demande des RH, de façon irrégulière</t>
  </si>
  <si>
    <t xml:space="preserve">Accès non autorisé à des données clients ou au code</t>
  </si>
  <si>
    <t xml:space="preserve">Comptes orphelins déjà constatés à l'arrivée de la RSSI ; vingt départs et arrivées attendus avec la croissance</t>
  </si>
  <si>
    <t xml:space="preserve">Responsable RH</t>
  </si>
  <si>
    <t xml:space="preserve">5.16, 5.18, 6.5</t>
  </si>
  <si>
    <t xml:space="preserve">• Procédure d'arrivée et de départ avec la liste des accès par profil, tous les outils raccordés au SSO, désactivation le jour du départ (5.16)
• Revue trimestrielle des comptes et des droits (5.18)
• Rappel écrit des obligations de confidentialité et restitution du matériel au départ (6.5)</t>
  </si>
  <si>
    <t xml:space="preserve">Responsable RH et responsable informatique interne</t>
  </si>
  <si>
    <t xml:space="preserve">Acceptée par la responsable RH</t>
  </si>
  <si>
    <t xml:space="preserve">R08</t>
  </si>
  <si>
    <t xml:space="preserve">Interruption prolongée du service en période de clôture comptable</t>
  </si>
  <si>
    <t xml:space="preserve">Erreur humaine (déploiement), défaillance technique ou panne d'un service AWS</t>
  </si>
  <si>
    <t xml:space="preserve">Une mise en production défaillante corrompt des données ou rend la plateforme indisponible en fin de mois. Faute de procédure de retour arrière et de restauration éprouvée, l'interruption dure plusieurs heures en pleine clôture.</t>
  </si>
  <si>
    <t xml:space="preserve">AP4, AP5</t>
  </si>
  <si>
    <t xml:space="preserve">AS01, AS02, AS04, AS05</t>
  </si>
  <si>
    <t xml:space="preserve">Pas de plan de continuité ni de reprise ; restauration jamais testée ; gestion des changements informelle, sans plan de retour arrière ; objectifs de reprise non définis</t>
  </si>
  <si>
    <t xml:space="preserve">Plateforme répartie sur plusieurs zones de disponibilité AWS ; sauvegardes automatiques</t>
  </si>
  <si>
    <t xml:space="preserve">Engagement de disponibilité de 99,9 % rompu, clôtures des clients retardées, pénalités possibles</t>
  </si>
  <si>
    <t xml:space="preserve">Plusieurs mises en production par semaine sans filet ; un incident de ce type est attendu dans l'année</t>
  </si>
  <si>
    <t xml:space="preserve">5.30, 8.13, 8.32</t>
  </si>
  <si>
    <t xml:space="preserve">• Objectifs de reprise fixés (reprise en 4 heures, perte de données d'une heure au plus), plan de reprise testé chaque année (5.30)
• Tests de restauration trimestriels (8.13, mesure partagée avec R02)
• Plan de retour arrière obligatoire, gel des mises en production majeures pendant les clôtures, déploiements progressifs (8.32)</t>
  </si>
  <si>
    <t xml:space="preserve">R09</t>
  </si>
  <si>
    <t xml:space="preserve">Compromission d'un compte de messagerie par hameçonnage ciblé</t>
  </si>
  <si>
    <t xml:space="preserve">Cybercriminels</t>
  </si>
  <si>
    <t xml:space="preserve">Une fausse page de connexion Google capture l'identifiant et le code de double authentification d'un salarié (attaque par relais). L'attaquant accède à ses e-mails et documents (contrats, exports clients) et s'en sert pour hameçonner des clients au nom de NotAge.</t>
  </si>
  <si>
    <t xml:space="preserve">AP7, AP1</t>
  </si>
  <si>
    <t xml:space="preserve">AS07, AS09</t>
  </si>
  <si>
    <t xml:space="preserve">Aucune sensibilisation des salariés ; pas de procédure de signalement ; double authentification par code, non résistante au hameçonnage</t>
  </si>
  <si>
    <t xml:space="preserve">Authentification multifacteur sur Google Workspace ; filtrage anti-spam natif</t>
  </si>
  <si>
    <t xml:space="preserve">Fuite de documents internes et clients, rebond possible vers les clients</t>
  </si>
  <si>
    <t xml:space="preserve">Hameçonnage omniprésent, mais la double authentification impose une attaque plus élaborée</t>
  </si>
  <si>
    <t xml:space="preserve">6.3, 6.8</t>
  </si>
  <si>
    <t xml:space="preserve">• Sensibilisation à l'arrivée puis annuelle, campagnes trimestrielles d'hameçonnage simulé (6.3)
• Canal de signalement unique (bouton dans la messagerie et canal Slack dédié) et réponse de la RSSI sous 1 heure ouvrée (6.8)</t>
  </si>
  <si>
    <t xml:space="preserve">Acceptée par la direction générale</t>
  </si>
  <si>
    <t xml:space="preserve">R10</t>
  </si>
  <si>
    <t xml:space="preserve">Perte ou vol d'un ordinateur portable ou d'un smartphone personnel</t>
  </si>
  <si>
    <t xml:space="preserve">Vol opportuniste ou perte</t>
  </si>
  <si>
    <t xml:space="preserve">Un smartphone personnel sans code de verrouillage, qui donne accès à la messagerie et à Slack (où circulent des captures de données clients), est volé. Ou un portable est perdu avec des sessions ouvertes.</t>
  </si>
  <si>
    <t xml:space="preserve">AS09, AS10</t>
  </si>
  <si>
    <t xml:space="preserve">Smartphones personnels non gérés (pas de code imposé, pas d'effacement à distance) ; pas de gestion centralisée des postes ; pas de règles pour les déplacements</t>
  </si>
  <si>
    <t xml:space="preserve">Disques des ordinateurs portables chiffrés</t>
  </si>
  <si>
    <t xml:space="preserve">Exposition limitée aux données présentes sur l'appareil</t>
  </si>
  <si>
    <t xml:space="preserve">Perte ou vol d'appareil très fréquent avec 50 salariés en télétravail et en déplacement</t>
  </si>
  <si>
    <t xml:space="preserve">8.1, 7.9</t>
  </si>
  <si>
    <t xml:space="preserve">• Gestion centralisée des portables (chiffrement vérifié, verrouillage, effacement à distance) et accès mobile uniquement via un profil professionnel protégé (8.1)
• Règles pour les déplacements et déclaration de toute perte sous 24 heures (7.9)</t>
  </si>
  <si>
    <t xml:space="preserve">Responsable informatique interne</t>
  </si>
  <si>
    <t xml:space="preserve">R11</t>
  </si>
  <si>
    <t xml:space="preserve">Fuite de données clients via un fournisseur SaaS compromis</t>
  </si>
  <si>
    <t xml:space="preserve">Cybercriminels ciblant un fournisseur</t>
  </si>
  <si>
    <t xml:space="preserve">L'outil de support (dont les tickets contiennent des captures et des IBAN) ou le prestataire d'envoi d'e-mails transactionnels est compromis. Il en résulte une fuite de données clients ou l'envoi d'e-mails frauduleux au nom de NotAge.</t>
  </si>
  <si>
    <t xml:space="preserve">AS08, AS16</t>
  </si>
  <si>
    <t xml:space="preserve">Fournisseurs jamais évalués ; contrats sans clauses de sécurité ni obligation de notifier les incidents ; données sensibles copiées sans nécessité dans les tickets</t>
  </si>
  <si>
    <t xml:space="preserve">Aucune mesure spécifique</t>
  </si>
  <si>
    <t xml:space="preserve">Violation de données notifiable, manquement aux clauses DORA des clients financiers</t>
  </si>
  <si>
    <t xml:space="preserve">Attaques contre les éditeurs SaaS en hausse ; fournisseurs établis mais non évalués</t>
  </si>
  <si>
    <t xml:space="preserve">5.19, 5.20</t>
  </si>
  <si>
    <t xml:space="preserve">• Classement des fournisseurs par criticité, évaluation de sécurité avant contrat puis chaque année pour les critiques (5.19)
• Clauses de sécurité : notification des incidents sous 48 heures, localisation des données dans l'UE, droit d'audit, réversibilité (5.20)</t>
  </si>
  <si>
    <t xml:space="preserve">CFO et RSSI</t>
  </si>
  <si>
    <t xml:space="preserve">30/06/2027</t>
  </si>
  <si>
    <t xml:space="preserve">R12</t>
  </si>
  <si>
    <t xml:space="preserve">Accès aux données par une autorité étrangère via l'hébergeur (Cloud Act)</t>
  </si>
  <si>
    <t xml:space="preserve">Autorité étatique étrangère (droit extraterritorial)</t>
  </si>
  <si>
    <t xml:space="preserve">Une autorité américaine contraint AWS à communiquer des données hébergées, sans que NotAge ni ses clients en soient informés.</t>
  </si>
  <si>
    <t xml:space="preserve">AS15</t>
  </si>
  <si>
    <t xml:space="preserve">Hébergeur soumis au droit américain ; clés de chiffrement gérées par l'hébergeur</t>
  </si>
  <si>
    <t xml:space="preserve">Données hébergées en France ; chiffrement au repos ; engagements contractuels de l'hébergeur</t>
  </si>
  <si>
    <t xml:space="preserve">Question de confiance sensible pour les clients bancaires</t>
  </si>
  <si>
    <t xml:space="preserve">Données de gestion de dépenses sans intérêt particulier pour une autorité étrangère ; cas jamais observé pour ce type de données</t>
  </si>
  <si>
    <t xml:space="preserve">Accepter</t>
  </si>
  <si>
    <t xml:space="preserve">Aucune nouvelle mesure</t>
  </si>
  <si>
    <t xml:space="preserve">• Aucune nouvelle mesure : risque faible, conforme aux critères d'acceptation
• Réponse type préparée pour les clients qui posent la question ; gestion des clés de chiffrement par NotAge étudiable si un client l'exige</t>
  </si>
  <si>
    <t xml:space="preserve">Direction générale</t>
  </si>
  <si>
    <t xml:space="preserve">Revue annuelle</t>
  </si>
  <si>
    <t xml:space="preserve">Cartographie des risques initiaux</t>
  </si>
  <si>
    <t xml:space="preserve">Nombre de scénarios par case (calculé depuis la feuille Registre).</t>
  </si>
  <si>
    <t xml:space="preserve">Risques initiaux</t>
  </si>
  <si>
    <t xml:space="preserve">Risques résiduels (après traitement)</t>
  </si>
  <si>
    <t xml:space="preserve">Vraisemblance ↓  /  Gravité →</t>
  </si>
  <si>
    <t xml:space="preserve">1 Mineure</t>
  </si>
  <si>
    <t xml:space="preserve">2 Significative</t>
  </si>
  <si>
    <t xml:space="preserve">3 Grave</t>
  </si>
  <si>
    <t xml:space="preserve">4 Critique</t>
  </si>
  <si>
    <t xml:space="preserve">4 Quasi certain</t>
  </si>
  <si>
    <t xml:space="preserve">3 Très vraisemblable</t>
  </si>
  <si>
    <t xml:space="preserve">2 Vraisemblable</t>
  </si>
  <si>
    <t xml:space="preserve">1 Peu vraisemblable</t>
  </si>
  <si>
    <t xml:space="preserve">Répartition par zone</t>
  </si>
  <si>
    <t xml:space="preserve">Initial</t>
  </si>
  <si>
    <t xml:space="preserve">Résiduel</t>
  </si>
  <si>
    <t xml:space="preserve">Total</t>
  </si>
  <si>
    <t xml:space="preserve">Les mesures de l'annexe A retenues pour traiter les scénarios</t>
  </si>
  <si>
    <t xml:space="preserve">La déclaration d'applicabilité (NTG-SMSI-DDA-001) examine les 93 mesures ; celles-ci sont les mesures prioritaires du plan de traitement.</t>
  </si>
  <si>
    <t xml:space="preserve">Mesure</t>
  </si>
  <si>
    <t xml:space="preserve">Intitulé</t>
  </si>
  <si>
    <t xml:space="preserve">Scénarios traités</t>
  </si>
  <si>
    <t xml:space="preserve">Nombre de scénarios</t>
  </si>
  <si>
    <t xml:space="preserve">5.16</t>
  </si>
  <si>
    <t xml:space="preserve">Gestion des identités</t>
  </si>
  <si>
    <t xml:space="preserve">5.17</t>
  </si>
  <si>
    <t xml:space="preserve">Informations d'authentification</t>
  </si>
  <si>
    <t xml:space="preserve">5.18</t>
  </si>
  <si>
    <t xml:space="preserve">Droits d'accès</t>
  </si>
  <si>
    <t xml:space="preserve">R02, R07</t>
  </si>
  <si>
    <t xml:space="preserve">5.19</t>
  </si>
  <si>
    <t xml:space="preserve">Sécurité de l'information dans les relations avec les fournisseurs</t>
  </si>
  <si>
    <t xml:space="preserve">5.20</t>
  </si>
  <si>
    <t xml:space="preserve">Sécurité de l'information dans les accords avec les fournisseurs</t>
  </si>
  <si>
    <t xml:space="preserve">5.23</t>
  </si>
  <si>
    <t xml:space="preserve">Sécurité de l'information dans l'utilisation de services en nuage</t>
  </si>
  <si>
    <t xml:space="preserve">5.24</t>
  </si>
  <si>
    <t xml:space="preserve">Planification et préparation de la gestion des incidents</t>
  </si>
  <si>
    <t xml:space="preserve">5.26</t>
  </si>
  <si>
    <t xml:space="preserve">Réponse aux incidents de sécurité de l'information</t>
  </si>
  <si>
    <t xml:space="preserve">5.30</t>
  </si>
  <si>
    <t xml:space="preserve">Préparation des TIC pour la continuité d'activité</t>
  </si>
  <si>
    <t xml:space="preserve">6.3</t>
  </si>
  <si>
    <t xml:space="preserve">Sensibilisation, enseignement et formation</t>
  </si>
  <si>
    <t xml:space="preserve">6.5</t>
  </si>
  <si>
    <t xml:space="preserve">Responsabilités après la fin ou la modification du contrat</t>
  </si>
  <si>
    <t xml:space="preserve">6.8</t>
  </si>
  <si>
    <t xml:space="preserve">Déclaration des événements de sécurité de l'information</t>
  </si>
  <si>
    <t xml:space="preserve">7.9</t>
  </si>
  <si>
    <t xml:space="preserve">Sécurité des actifs hors des locaux</t>
  </si>
  <si>
    <t xml:space="preserve">8.1</t>
  </si>
  <si>
    <t xml:space="preserve">Terminaux des utilisateurs</t>
  </si>
  <si>
    <t xml:space="preserve">8.2</t>
  </si>
  <si>
    <t xml:space="preserve">Droits d'accès privilégiés</t>
  </si>
  <si>
    <t xml:space="preserve">8.3</t>
  </si>
  <si>
    <t xml:space="preserve">Restriction d'accès aux informations</t>
  </si>
  <si>
    <t xml:space="preserve">8.4</t>
  </si>
  <si>
    <t xml:space="preserve">Accès au code source</t>
  </si>
  <si>
    <t xml:space="preserve">8.5</t>
  </si>
  <si>
    <t xml:space="preserve">Authentification sécurisée</t>
  </si>
  <si>
    <t xml:space="preserve">R01, R02</t>
  </si>
  <si>
    <t xml:space="preserve">8.8</t>
  </si>
  <si>
    <t xml:space="preserve">Gestion des vulnérabilités techniques</t>
  </si>
  <si>
    <t xml:space="preserve">8.9</t>
  </si>
  <si>
    <t xml:space="preserve">Gestion des configurations</t>
  </si>
  <si>
    <t xml:space="preserve">8.11</t>
  </si>
  <si>
    <t xml:space="preserve">Masquage des données</t>
  </si>
  <si>
    <t xml:space="preserve">8.13</t>
  </si>
  <si>
    <t xml:space="preserve">Sauvegarde des informations</t>
  </si>
  <si>
    <t xml:space="preserve">R02, R08</t>
  </si>
  <si>
    <t xml:space="preserve">8.15</t>
  </si>
  <si>
    <t xml:space="preserve">Journalisation</t>
  </si>
  <si>
    <t xml:space="preserve">R01, R06</t>
  </si>
  <si>
    <t xml:space="preserve">8.16</t>
  </si>
  <si>
    <t xml:space="preserve">Activités de surveillance</t>
  </si>
  <si>
    <t xml:space="preserve">R01, R02, R04</t>
  </si>
  <si>
    <t xml:space="preserve">8.26</t>
  </si>
  <si>
    <t xml:space="preserve">Exigences de sécurité des applications</t>
  </si>
  <si>
    <t xml:space="preserve">8.28</t>
  </si>
  <si>
    <t xml:space="preserve">Codage sécurisé</t>
  </si>
  <si>
    <t xml:space="preserve">R03, R05</t>
  </si>
  <si>
    <t xml:space="preserve">8.29</t>
  </si>
  <si>
    <t xml:space="preserve">Tests de sécurité dans le développement et l'acceptation</t>
  </si>
  <si>
    <t xml:space="preserve">8.32</t>
  </si>
  <si>
    <t xml:space="preserve">Gestion des changements</t>
  </si>
  <si>
    <t xml:space="preserve">R05, R08</t>
  </si>
</sst>
</file>

<file path=xl/styles.xml><?xml version="1.0" encoding="utf-8"?>
<styleSheet xmlns="http://schemas.openxmlformats.org/spreadsheetml/2006/main">
  <numFmts count="2">
    <numFmt numFmtId="164" formatCode="General"/>
    <numFmt numFmtId="165" formatCode="General"/>
  </numFmts>
  <fonts count="17">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b val="true"/>
      <sz val="10"/>
      <name val="Arial"/>
      <family val="0"/>
      <charset val="1"/>
    </font>
    <font>
      <sz val="10"/>
      <name val="Arial"/>
      <family val="0"/>
      <charset val="1"/>
    </font>
    <font>
      <b val="true"/>
      <sz val="12"/>
      <color rgb="FF1F3A5F"/>
      <name val="Arial"/>
      <family val="0"/>
      <charset val="1"/>
    </font>
    <font>
      <b val="true"/>
      <sz val="10"/>
      <color rgb="FFFFFFFF"/>
      <name val="Arial"/>
      <family val="0"/>
      <charset val="1"/>
    </font>
    <font>
      <i val="true"/>
      <sz val="10"/>
      <name val="Arial"/>
      <family val="0"/>
      <charset val="1"/>
    </font>
    <font>
      <b val="true"/>
      <sz val="10"/>
      <color rgb="FF000000"/>
      <name val="Arial"/>
      <family val="0"/>
      <charset val="1"/>
    </font>
    <font>
      <b val="true"/>
      <sz val="13"/>
      <color rgb="FF1F3A5F"/>
      <name val="Arial"/>
      <family val="0"/>
      <charset val="1"/>
    </font>
    <font>
      <i val="true"/>
      <sz val="10"/>
      <color rgb="FF666666"/>
      <name val="Arial"/>
      <family val="0"/>
      <charset val="1"/>
    </font>
    <font>
      <b val="true"/>
      <sz val="10"/>
      <color rgb="FF0000FF"/>
      <name val="Arial"/>
      <family val="0"/>
      <charset val="1"/>
    </font>
    <font>
      <b val="true"/>
      <sz val="11"/>
      <color rgb="FF1F3A5F"/>
      <name val="Arial"/>
      <family val="0"/>
      <charset val="1"/>
    </font>
    <font>
      <b val="true"/>
      <sz val="14"/>
      <color rgb="FF000000"/>
      <name val="Arial"/>
      <family val="0"/>
      <charset val="1"/>
    </font>
    <font>
      <b val="true"/>
      <sz val="14"/>
      <color rgb="FFFFFFFF"/>
      <name val="Arial"/>
      <family val="0"/>
      <charset val="1"/>
    </font>
  </fonts>
  <fills count="10">
    <fill>
      <patternFill patternType="none"/>
    </fill>
    <fill>
      <patternFill patternType="gray125"/>
    </fill>
    <fill>
      <patternFill patternType="solid">
        <fgColor rgb="FF1F3A5F"/>
        <bgColor rgb="FF333333"/>
      </patternFill>
    </fill>
    <fill>
      <patternFill patternType="solid">
        <fgColor rgb="FFC00000"/>
        <bgColor rgb="FF800000"/>
      </patternFill>
    </fill>
    <fill>
      <patternFill patternType="solid">
        <fgColor rgb="FFED7D31"/>
        <bgColor rgb="FFFF8080"/>
      </patternFill>
    </fill>
    <fill>
      <patternFill patternType="solid">
        <fgColor rgb="FFFFD966"/>
        <bgColor rgb="FFFFFF99"/>
      </patternFill>
    </fill>
    <fill>
      <patternFill patternType="solid">
        <fgColor rgb="FFA9D08E"/>
        <bgColor rgb="FFC9D3DE"/>
      </patternFill>
    </fill>
    <fill>
      <patternFill patternType="solid">
        <fgColor rgb="FF2E75B6"/>
        <bgColor rgb="FF0066CC"/>
      </patternFill>
    </fill>
    <fill>
      <patternFill patternType="solid">
        <fgColor rgb="FF3E8E4F"/>
        <bgColor rgb="FF666666"/>
      </patternFill>
    </fill>
    <fill>
      <patternFill patternType="solid">
        <fgColor rgb="FFF5F8FB"/>
        <bgColor rgb="FFFFFFFF"/>
      </patternFill>
    </fill>
  </fills>
  <borders count="2">
    <border diagonalUp="false" diagonalDown="false">
      <left/>
      <right/>
      <top/>
      <bottom/>
      <diagonal/>
    </border>
    <border diagonalUp="false" diagonalDown="false">
      <left style="thin">
        <color rgb="FFC9D3DE"/>
      </left>
      <right style="thin">
        <color rgb="FFC9D3DE"/>
      </right>
      <top style="thin">
        <color rgb="FFC9D3DE"/>
      </top>
      <bottom style="thin">
        <color rgb="FFC9D3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8" fillId="7" borderId="0" xfId="0" applyFont="true" applyBorder="true" applyAlignment="true" applyProtection="false">
      <alignment horizontal="center" vertical="center" textRotation="0" wrapText="true" indent="0" shrinkToFit="false"/>
      <protection locked="true" hidden="false"/>
    </xf>
    <xf numFmtId="164" fontId="8" fillId="8" borderId="0"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general" vertical="top"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13" fillId="9" borderId="1" xfId="0" applyFont="true" applyBorder="true" applyAlignment="true" applyProtection="false">
      <alignment horizontal="center" vertical="center" textRotation="0" wrapText="true" indent="0" shrinkToFit="false"/>
      <protection locked="true" hidden="false"/>
    </xf>
    <xf numFmtId="165" fontId="5" fillId="9"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15" fillId="5" borderId="1" xfId="0" applyFont="true" applyBorder="true" applyAlignment="true" applyProtection="false">
      <alignment horizontal="center" vertical="center" textRotation="0" wrapText="true" indent="0" shrinkToFit="false"/>
      <protection locked="true" hidden="false"/>
    </xf>
    <xf numFmtId="165" fontId="16" fillId="4" borderId="1" xfId="0" applyFont="true" applyBorder="true" applyAlignment="true" applyProtection="false">
      <alignment horizontal="center" vertical="center" textRotation="0" wrapText="true" indent="0" shrinkToFit="false"/>
      <protection locked="true" hidden="false"/>
    </xf>
    <xf numFmtId="165" fontId="16" fillId="3" borderId="1" xfId="0" applyFont="true" applyBorder="true" applyAlignment="true" applyProtection="false">
      <alignment horizontal="center" vertical="center" textRotation="0" wrapText="true" indent="0" shrinkToFit="false"/>
      <protection locked="true" hidden="false"/>
    </xf>
    <xf numFmtId="165" fontId="15" fillId="6"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10" fillId="6"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ont>
        <name val="Arial"/>
        <charset val="1"/>
        <family val="0"/>
        <b val="1"/>
        <color rgb="FFFFFFFF"/>
      </font>
      <fill>
        <patternFill>
          <bgColor rgb="FFC00000"/>
        </patternFill>
      </fill>
    </dxf>
    <dxf>
      <font>
        <name val="Arial"/>
        <charset val="1"/>
        <family val="0"/>
        <b val="1"/>
        <color rgb="FFFFFFFF"/>
      </font>
      <fill>
        <patternFill>
          <bgColor rgb="FFED7D31"/>
        </patternFill>
      </fill>
    </dxf>
    <dxf>
      <font>
        <name val="Arial"/>
        <charset val="1"/>
        <family val="0"/>
        <b val="1"/>
        <color rgb="FF000000"/>
      </font>
      <fill>
        <patternFill>
          <bgColor rgb="FFFFD966"/>
        </patternFill>
      </fill>
    </dxf>
    <dxf>
      <font>
        <name val="Arial"/>
        <charset val="1"/>
        <family val="0"/>
        <b val="1"/>
        <color rgb="FF000000"/>
      </font>
      <fill>
        <patternFill>
          <bgColor rgb="FFA9D08E"/>
        </patternFill>
      </fill>
    </dxf>
    <dxf>
      <fill>
        <patternFill patternType="solid">
          <fgColor rgb="FF1F3A5F"/>
          <bgColor rgb="FF000000"/>
        </patternFill>
      </fill>
    </dxf>
    <dxf>
      <fill>
        <patternFill patternType="solid">
          <fgColor rgb="FFF5F8FB"/>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A9D08E"/>
          <bgColor rgb="FF000000"/>
        </patternFill>
      </fill>
    </dxf>
    <dxf>
      <fill>
        <patternFill patternType="solid">
          <fgColor rgb="FFC00000"/>
          <bgColor rgb="FF000000"/>
        </patternFill>
      </fill>
    </dxf>
    <dxf>
      <fill>
        <patternFill patternType="solid">
          <fgColor rgb="FFED7D31"/>
          <bgColor rgb="FF000000"/>
        </patternFill>
      </fill>
    </dxf>
    <dxf>
      <fill>
        <patternFill patternType="solid">
          <fgColor rgb="FFFFD966"/>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A9D08E"/>
      <rgbColor rgb="FF808080"/>
      <rgbColor rgb="FF9999FF"/>
      <rgbColor rgb="FF993366"/>
      <rgbColor rgb="FFF5F8FB"/>
      <rgbColor rgb="FFCCFFFF"/>
      <rgbColor rgb="FF660066"/>
      <rgbColor rgb="FFFF8080"/>
      <rgbColor rgb="FF0066CC"/>
      <rgbColor rgb="FFC9D3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D966"/>
      <rgbColor rgb="FF2E75B6"/>
      <rgbColor rgb="FF33CCCC"/>
      <rgbColor rgb="FF99CC00"/>
      <rgbColor rgb="FFFFCC00"/>
      <rgbColor rgb="FFFF9900"/>
      <rgbColor rgb="FFED7D31"/>
      <rgbColor rgb="FF666666"/>
      <rgbColor rgb="FF969696"/>
      <rgbColor rgb="FF1F3A5F"/>
      <rgbColor rgb="FF3E8E4F"/>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95"/>
  </cols>
  <sheetData>
    <row r="1" customFormat="false" ht="19.7" hidden="false" customHeight="false" outlineLevel="0" collapsed="false">
      <c r="A1" s="1" t="s">
        <v>0</v>
      </c>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15" hidden="false" customHeight="false" outlineLevel="0" collapsed="false">
      <c r="A6" s="2" t="s">
        <v>7</v>
      </c>
      <c r="B6" s="3" t="s">
        <v>8</v>
      </c>
    </row>
    <row r="7" customFormat="false" ht="15" hidden="false" customHeight="false" outlineLevel="0" collapsed="false">
      <c r="A7" s="2" t="s">
        <v>9</v>
      </c>
      <c r="B7" s="3" t="s">
        <v>10</v>
      </c>
    </row>
    <row r="8" customFormat="false" ht="15" hidden="false" customHeight="false" outlineLevel="0" collapsed="false">
      <c r="A8" s="2" t="s">
        <v>11</v>
      </c>
      <c r="B8" s="3" t="s">
        <v>12</v>
      </c>
    </row>
    <row r="9" customFormat="false" ht="15" hidden="false" customHeight="false" outlineLevel="0" collapsed="false">
      <c r="A9" s="2" t="s">
        <v>13</v>
      </c>
      <c r="B9" s="3" t="s">
        <v>14</v>
      </c>
    </row>
    <row r="10" customFormat="false" ht="15" hidden="false" customHeight="false" outlineLevel="0" collapsed="false">
      <c r="A10" s="2" t="s">
        <v>15</v>
      </c>
      <c r="B10" s="3" t="s">
        <v>16</v>
      </c>
    </row>
    <row r="12" customFormat="false" ht="15" hidden="false" customHeight="false" outlineLevel="0" collapsed="false">
      <c r="A12" s="4" t="s">
        <v>17</v>
      </c>
    </row>
    <row r="13" customFormat="false" ht="15" hidden="false" customHeight="false" outlineLevel="0" collapsed="false">
      <c r="A13" s="2" t="s">
        <v>18</v>
      </c>
      <c r="B13" s="5" t="s">
        <v>19</v>
      </c>
    </row>
    <row r="14" customFormat="false" ht="23.85" hidden="false" customHeight="false" outlineLevel="0" collapsed="false">
      <c r="A14" s="2" t="s">
        <v>20</v>
      </c>
      <c r="B14" s="5" t="s">
        <v>21</v>
      </c>
    </row>
    <row r="15" customFormat="false" ht="15" hidden="false" customHeight="false" outlineLevel="0" collapsed="false">
      <c r="A15" s="2" t="s">
        <v>22</v>
      </c>
      <c r="B15" s="5" t="s">
        <v>23</v>
      </c>
    </row>
    <row r="16" customFormat="false" ht="15" hidden="false" customHeight="false" outlineLevel="0" collapsed="false">
      <c r="A16" s="2" t="s">
        <v>24</v>
      </c>
      <c r="B16" s="5" t="s">
        <v>25</v>
      </c>
    </row>
    <row r="17" customFormat="false" ht="15" hidden="false" customHeight="false" outlineLevel="0" collapsed="false">
      <c r="A17" s="2" t="s">
        <v>26</v>
      </c>
      <c r="B17" s="5" t="s">
        <v>27</v>
      </c>
    </row>
    <row r="18" customFormat="false" ht="15" hidden="false" customHeight="false" outlineLevel="0" collapsed="false">
      <c r="A18" s="2" t="s">
        <v>28</v>
      </c>
      <c r="B18" s="5" t="s">
        <v>29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34"/>
    <col collapsed="false" customWidth="true" hidden="false" outlineLevel="0" max="7" min="7" style="0" width="4"/>
  </cols>
  <sheetData>
    <row r="1" customFormat="false" ht="15" hidden="false" customHeight="false" outlineLevel="0" collapsed="false">
      <c r="A1" s="4" t="s">
        <v>30</v>
      </c>
    </row>
    <row r="2" customFormat="false" ht="15" hidden="false" customHeight="false" outlineLevel="0" collapsed="false">
      <c r="A2" s="6" t="s">
        <v>31</v>
      </c>
      <c r="B2" s="6" t="s">
        <v>32</v>
      </c>
      <c r="C2" s="6" t="s">
        <v>33</v>
      </c>
      <c r="D2" s="6" t="s">
        <v>34</v>
      </c>
      <c r="E2" s="6" t="s">
        <v>35</v>
      </c>
      <c r="F2" s="6" t="s">
        <v>36</v>
      </c>
    </row>
    <row r="3" customFormat="false" ht="15" hidden="false" customHeight="false" outlineLevel="0" collapsed="false">
      <c r="A3" s="7" t="n">
        <v>1</v>
      </c>
      <c r="B3" s="7" t="s">
        <v>37</v>
      </c>
      <c r="C3" s="8" t="s">
        <v>38</v>
      </c>
      <c r="D3" s="8" t="s">
        <v>39</v>
      </c>
      <c r="E3" s="8" t="s">
        <v>40</v>
      </c>
      <c r="F3" s="8" t="s">
        <v>41</v>
      </c>
    </row>
    <row r="4" customFormat="false" ht="23.85" hidden="false" customHeight="false" outlineLevel="0" collapsed="false">
      <c r="A4" s="7" t="n">
        <v>2</v>
      </c>
      <c r="B4" s="7" t="s">
        <v>42</v>
      </c>
      <c r="C4" s="8" t="s">
        <v>43</v>
      </c>
      <c r="D4" s="8" t="s">
        <v>44</v>
      </c>
      <c r="E4" s="8" t="s">
        <v>45</v>
      </c>
      <c r="F4" s="8" t="s">
        <v>46</v>
      </c>
    </row>
    <row r="5" customFormat="false" ht="35.05" hidden="false" customHeight="false" outlineLevel="0" collapsed="false">
      <c r="A5" s="7" t="n">
        <v>3</v>
      </c>
      <c r="B5" s="7" t="s">
        <v>47</v>
      </c>
      <c r="C5" s="8" t="s">
        <v>48</v>
      </c>
      <c r="D5" s="8" t="s">
        <v>49</v>
      </c>
      <c r="E5" s="8" t="s">
        <v>50</v>
      </c>
      <c r="F5" s="8" t="s">
        <v>51</v>
      </c>
    </row>
    <row r="6" customFormat="false" ht="23.85" hidden="false" customHeight="false" outlineLevel="0" collapsed="false">
      <c r="A6" s="7" t="n">
        <v>4</v>
      </c>
      <c r="B6" s="7" t="s">
        <v>52</v>
      </c>
      <c r="C6" s="8" t="s">
        <v>53</v>
      </c>
      <c r="D6" s="8" t="s">
        <v>54</v>
      </c>
      <c r="E6" s="8" t="s">
        <v>55</v>
      </c>
      <c r="F6" s="8" t="s">
        <v>56</v>
      </c>
    </row>
    <row r="7" customFormat="false" ht="15" hidden="false" customHeight="false" outlineLevel="0" collapsed="false">
      <c r="A7" s="9" t="s">
        <v>57</v>
      </c>
    </row>
    <row r="9" customFormat="false" ht="15" hidden="false" customHeight="false" outlineLevel="0" collapsed="false">
      <c r="A9" s="4" t="s">
        <v>58</v>
      </c>
    </row>
    <row r="10" customFormat="false" ht="15" hidden="false" customHeight="true" outlineLevel="0" collapsed="false">
      <c r="A10" s="6" t="s">
        <v>31</v>
      </c>
      <c r="B10" s="6" t="s">
        <v>32</v>
      </c>
      <c r="C10" s="6" t="s">
        <v>59</v>
      </c>
      <c r="D10" s="6"/>
      <c r="E10" s="6"/>
      <c r="F10" s="6"/>
    </row>
    <row r="11" customFormat="false" ht="30" hidden="false" customHeight="true" outlineLevel="0" collapsed="false">
      <c r="A11" s="7" t="n">
        <v>1</v>
      </c>
      <c r="B11" s="7" t="s">
        <v>60</v>
      </c>
      <c r="C11" s="8" t="s">
        <v>61</v>
      </c>
      <c r="D11" s="8"/>
      <c r="E11" s="8"/>
      <c r="F11" s="8"/>
    </row>
    <row r="12" customFormat="false" ht="30" hidden="false" customHeight="true" outlineLevel="0" collapsed="false">
      <c r="A12" s="7" t="n">
        <v>2</v>
      </c>
      <c r="B12" s="7" t="s">
        <v>62</v>
      </c>
      <c r="C12" s="8" t="s">
        <v>63</v>
      </c>
      <c r="D12" s="8"/>
      <c r="E12" s="8"/>
      <c r="F12" s="8"/>
    </row>
    <row r="13" customFormat="false" ht="30" hidden="false" customHeight="true" outlineLevel="0" collapsed="false">
      <c r="A13" s="7" t="n">
        <v>3</v>
      </c>
      <c r="B13" s="7" t="s">
        <v>64</v>
      </c>
      <c r="C13" s="8" t="s">
        <v>65</v>
      </c>
      <c r="D13" s="8"/>
      <c r="E13" s="8"/>
      <c r="F13" s="8"/>
    </row>
    <row r="14" customFormat="false" ht="30" hidden="false" customHeight="true" outlineLevel="0" collapsed="false">
      <c r="A14" s="7" t="n">
        <v>4</v>
      </c>
      <c r="B14" s="7" t="s">
        <v>66</v>
      </c>
      <c r="C14" s="8" t="s">
        <v>67</v>
      </c>
      <c r="D14" s="8"/>
      <c r="E14" s="8"/>
      <c r="F14" s="8"/>
    </row>
    <row r="17" customFormat="false" ht="15" hidden="false" customHeight="false" outlineLevel="0" collapsed="false">
      <c r="A17" s="4" t="s">
        <v>68</v>
      </c>
    </row>
    <row r="18" customFormat="false" ht="15" hidden="false" customHeight="false" outlineLevel="0" collapsed="false">
      <c r="A18" s="2" t="s">
        <v>69</v>
      </c>
      <c r="B18" s="10" t="n">
        <v>1</v>
      </c>
      <c r="C18" s="10" t="n">
        <v>2</v>
      </c>
      <c r="D18" s="10" t="n">
        <v>3</v>
      </c>
      <c r="E18" s="10" t="n">
        <v>4</v>
      </c>
    </row>
    <row r="19" customFormat="false" ht="25.5" hidden="false" customHeight="true" outlineLevel="0" collapsed="false">
      <c r="A19" s="10" t="n">
        <v>4</v>
      </c>
      <c r="B19" s="11" t="n">
        <f aca="false">B$18*$A19</f>
        <v>4</v>
      </c>
      <c r="C19" s="11" t="n">
        <f aca="false">C$18*$A19</f>
        <v>8</v>
      </c>
      <c r="D19" s="11" t="n">
        <f aca="false">D$18*$A19</f>
        <v>12</v>
      </c>
      <c r="E19" s="11" t="n">
        <f aca="false">E$18*$A19</f>
        <v>16</v>
      </c>
    </row>
    <row r="20" customFormat="false" ht="25.5" hidden="false" customHeight="true" outlineLevel="0" collapsed="false">
      <c r="A20" s="10" t="n">
        <v>3</v>
      </c>
      <c r="B20" s="11" t="n">
        <f aca="false">B$18*$A20</f>
        <v>3</v>
      </c>
      <c r="C20" s="11" t="n">
        <f aca="false">C$18*$A20</f>
        <v>6</v>
      </c>
      <c r="D20" s="11" t="n">
        <f aca="false">D$18*$A20</f>
        <v>9</v>
      </c>
      <c r="E20" s="11" t="n">
        <f aca="false">E$18*$A20</f>
        <v>12</v>
      </c>
    </row>
    <row r="21" customFormat="false" ht="25.5" hidden="false" customHeight="true" outlineLevel="0" collapsed="false">
      <c r="A21" s="10" t="n">
        <v>2</v>
      </c>
      <c r="B21" s="11" t="n">
        <f aca="false">B$18*$A21</f>
        <v>2</v>
      </c>
      <c r="C21" s="11" t="n">
        <f aca="false">C$18*$A21</f>
        <v>4</v>
      </c>
      <c r="D21" s="11" t="n">
        <f aca="false">D$18*$A21</f>
        <v>6</v>
      </c>
      <c r="E21" s="11" t="n">
        <f aca="false">E$18*$A21</f>
        <v>8</v>
      </c>
    </row>
    <row r="22" customFormat="false" ht="25.5" hidden="false" customHeight="true" outlineLevel="0" collapsed="false">
      <c r="A22" s="10" t="n">
        <v>1</v>
      </c>
      <c r="B22" s="11" t="n">
        <f aca="false">B$18*$A22</f>
        <v>1</v>
      </c>
      <c r="C22" s="11" t="n">
        <f aca="false">C$18*$A22</f>
        <v>2</v>
      </c>
      <c r="D22" s="11" t="n">
        <f aca="false">D$18*$A22</f>
        <v>3</v>
      </c>
      <c r="E22" s="11" t="n">
        <f aca="false">E$18*$A22</f>
        <v>4</v>
      </c>
    </row>
    <row r="24" customFormat="false" ht="15" hidden="false" customHeight="false" outlineLevel="0" collapsed="false">
      <c r="A24" s="4" t="s">
        <v>70</v>
      </c>
    </row>
    <row r="25" customFormat="false" ht="15" hidden="false" customHeight="false" outlineLevel="0" collapsed="false">
      <c r="A25" s="6" t="s">
        <v>31</v>
      </c>
      <c r="B25" s="6" t="s">
        <v>71</v>
      </c>
      <c r="C25" s="6" t="s">
        <v>72</v>
      </c>
      <c r="D25" s="6" t="s">
        <v>73</v>
      </c>
    </row>
    <row r="26" customFormat="false" ht="30" hidden="false" customHeight="true" outlineLevel="0" collapsed="false">
      <c r="A26" s="8" t="s">
        <v>74</v>
      </c>
      <c r="B26" s="12" t="s">
        <v>52</v>
      </c>
      <c r="C26" s="8" t="s">
        <v>75</v>
      </c>
      <c r="D26" s="8" t="s">
        <v>76</v>
      </c>
    </row>
    <row r="27" customFormat="false" ht="30" hidden="false" customHeight="true" outlineLevel="0" collapsed="false">
      <c r="A27" s="8" t="s">
        <v>77</v>
      </c>
      <c r="B27" s="13" t="s">
        <v>78</v>
      </c>
      <c r="C27" s="8" t="s">
        <v>79</v>
      </c>
      <c r="D27" s="8" t="s">
        <v>80</v>
      </c>
    </row>
    <row r="28" customFormat="false" ht="30" hidden="false" customHeight="true" outlineLevel="0" collapsed="false">
      <c r="A28" s="8" t="s">
        <v>81</v>
      </c>
      <c r="B28" s="14" t="s">
        <v>82</v>
      </c>
      <c r="C28" s="8" t="s">
        <v>83</v>
      </c>
      <c r="D28" s="8" t="s">
        <v>84</v>
      </c>
    </row>
    <row r="29" customFormat="false" ht="30" hidden="false" customHeight="true" outlineLevel="0" collapsed="false">
      <c r="A29" s="8" t="s">
        <v>85</v>
      </c>
      <c r="B29" s="15" t="s">
        <v>86</v>
      </c>
      <c r="C29" s="8" t="s">
        <v>87</v>
      </c>
      <c r="D29" s="8" t="s">
        <v>84</v>
      </c>
    </row>
    <row r="31" customFormat="false" ht="15" hidden="false" customHeight="false" outlineLevel="0" collapsed="false">
      <c r="A31" s="9" t="s">
        <v>88</v>
      </c>
    </row>
  </sheetData>
  <mergeCells count="5">
    <mergeCell ref="C10:F10"/>
    <mergeCell ref="C11:F11"/>
    <mergeCell ref="C12:F12"/>
    <mergeCell ref="C13:F13"/>
    <mergeCell ref="C14:F14"/>
  </mergeCells>
  <conditionalFormatting sqref="B19:E22">
    <cfRule type="cellIs" priority="2" operator="between" aboveAverage="0" equalAverage="0" bottom="0" percent="0" rank="0" text="" dxfId="0">
      <formula>12</formula>
      <formula>16</formula>
    </cfRule>
    <cfRule type="cellIs" priority="3" operator="between" aboveAverage="0" equalAverage="0" bottom="0" percent="0" rank="0" text="" dxfId="1">
      <formula>8</formula>
      <formula>11</formula>
    </cfRule>
    <cfRule type="cellIs" priority="4" operator="between" aboveAverage="0" equalAverage="0" bottom="0" percent="0" rank="0" text="" dxfId="2">
      <formula>4</formula>
      <formula>7</formula>
    </cfRule>
    <cfRule type="cellIs" priority="5" operator="between" aboveAverage="0" equalAverage="0" bottom="0" percent="0" rank="0" text="" dxfId="3">
      <formula>1</formula>
      <formula>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4"/>
    <col collapsed="false" customWidth="true" hidden="false" outlineLevel="0" max="3" min="3" style="0" width="24"/>
    <col collapsed="false" customWidth="true" hidden="false" outlineLevel="0" max="4" min="4" style="0" width="55"/>
    <col collapsed="false" customWidth="true" hidden="false" outlineLevel="0" max="5" min="5" style="0" width="13"/>
    <col collapsed="false" customWidth="true" hidden="false" outlineLevel="0" max="6" min="6" style="0" width="14"/>
    <col collapsed="false" customWidth="true" hidden="false" outlineLevel="0" max="7" min="7" style="0" width="9"/>
    <col collapsed="false" customWidth="true" hidden="false" outlineLevel="0" max="8" min="8" style="0" width="48"/>
    <col collapsed="false" customWidth="true" hidden="false" outlineLevel="0" max="9" min="9" style="0" width="36"/>
    <col collapsed="false" customWidth="true" hidden="false" outlineLevel="0" max="10" min="10" style="0" width="9"/>
    <col collapsed="false" customWidth="true" hidden="false" outlineLevel="0" max="11" min="11" style="0" width="40"/>
    <col collapsed="false" customWidth="true" hidden="false" outlineLevel="0" max="12" min="12" style="0" width="11"/>
    <col collapsed="false" customWidth="true" hidden="false" outlineLevel="0" max="13" min="13" style="0" width="40"/>
    <col collapsed="false" customWidth="true" hidden="false" outlineLevel="0" max="15" min="14" style="0" width="11"/>
    <col collapsed="false" customWidth="true" hidden="false" outlineLevel="0" max="16" min="16" style="0" width="18"/>
    <col collapsed="false" customWidth="true" hidden="false" outlineLevel="0" max="17" min="17" style="0" width="13"/>
    <col collapsed="false" customWidth="true" hidden="false" outlineLevel="0" max="18" min="18" style="0" width="16"/>
    <col collapsed="false" customWidth="true" hidden="false" outlineLevel="0" max="19" min="19" style="0" width="60"/>
    <col collapsed="false" customWidth="true" hidden="false" outlineLevel="0" max="20" min="20" style="0" width="18"/>
    <col collapsed="false" customWidth="true" hidden="false" outlineLevel="0" max="21" min="21" style="0" width="14"/>
    <col collapsed="false" customWidth="true" hidden="false" outlineLevel="0" max="23" min="22" style="0" width="9"/>
    <col collapsed="false" customWidth="true" hidden="false" outlineLevel="0" max="24" min="24" style="0" width="10"/>
    <col collapsed="false" customWidth="true" hidden="false" outlineLevel="0" max="25" min="25" style="0" width="11"/>
    <col collapsed="false" customWidth="true" hidden="false" outlineLevel="0" max="26" min="26" style="0" width="26"/>
  </cols>
  <sheetData>
    <row r="1" customFormat="false" ht="16.15" hidden="false" customHeight="false" outlineLevel="0" collapsed="false">
      <c r="A1" s="16" t="s">
        <v>89</v>
      </c>
    </row>
    <row r="2" customFormat="false" ht="15" hidden="false" customHeight="false" outlineLevel="0" collapsed="false">
      <c r="A2" s="17" t="s">
        <v>90</v>
      </c>
    </row>
    <row r="3" customFormat="false" ht="15" hidden="false" customHeight="true" outlineLevel="0" collapsed="false">
      <c r="A3" s="18" t="s">
        <v>91</v>
      </c>
      <c r="B3" s="18"/>
      <c r="C3" s="18"/>
      <c r="D3" s="18"/>
      <c r="E3" s="18"/>
      <c r="F3" s="18"/>
      <c r="G3" s="18"/>
      <c r="H3" s="18"/>
      <c r="I3" s="18"/>
      <c r="J3" s="18"/>
      <c r="K3" s="18"/>
      <c r="L3" s="18"/>
      <c r="M3" s="18"/>
      <c r="N3" s="18"/>
      <c r="O3" s="18"/>
      <c r="P3" s="18"/>
      <c r="Q3" s="19" t="s">
        <v>92</v>
      </c>
      <c r="R3" s="19"/>
      <c r="S3" s="19"/>
      <c r="T3" s="19"/>
      <c r="U3" s="19"/>
      <c r="V3" s="19"/>
      <c r="W3" s="19"/>
      <c r="X3" s="19"/>
      <c r="Y3" s="19"/>
      <c r="Z3" s="19"/>
    </row>
    <row r="4" customFormat="false" ht="31.5" hidden="false" customHeight="true" outlineLevel="0" collapsed="false">
      <c r="A4" s="6" t="s">
        <v>93</v>
      </c>
      <c r="B4" s="6" t="s">
        <v>94</v>
      </c>
      <c r="C4" s="6" t="s">
        <v>95</v>
      </c>
      <c r="D4" s="6" t="s">
        <v>96</v>
      </c>
      <c r="E4" s="6" t="s">
        <v>97</v>
      </c>
      <c r="F4" s="6" t="s">
        <v>98</v>
      </c>
      <c r="G4" s="6" t="s">
        <v>99</v>
      </c>
      <c r="H4" s="6" t="s">
        <v>100</v>
      </c>
      <c r="I4" s="6" t="s">
        <v>101</v>
      </c>
      <c r="J4" s="6" t="s">
        <v>102</v>
      </c>
      <c r="K4" s="6" t="s">
        <v>103</v>
      </c>
      <c r="L4" s="6" t="s">
        <v>104</v>
      </c>
      <c r="M4" s="6" t="s">
        <v>105</v>
      </c>
      <c r="N4" s="6" t="s">
        <v>106</v>
      </c>
      <c r="O4" s="6" t="s">
        <v>107</v>
      </c>
      <c r="P4" s="6" t="s">
        <v>84</v>
      </c>
      <c r="Q4" s="6" t="s">
        <v>108</v>
      </c>
      <c r="R4" s="6" t="s">
        <v>109</v>
      </c>
      <c r="S4" s="6" t="s">
        <v>110</v>
      </c>
      <c r="T4" s="6" t="s">
        <v>111</v>
      </c>
      <c r="U4" s="6" t="s">
        <v>112</v>
      </c>
      <c r="V4" s="6" t="s">
        <v>113</v>
      </c>
      <c r="W4" s="6" t="s">
        <v>114</v>
      </c>
      <c r="X4" s="6" t="s">
        <v>115</v>
      </c>
      <c r="Y4" s="6" t="s">
        <v>116</v>
      </c>
      <c r="Z4" s="6" t="s">
        <v>117</v>
      </c>
    </row>
    <row r="5" customFormat="false" ht="150" hidden="false" customHeight="true" outlineLevel="0" collapsed="false">
      <c r="A5" s="20" t="s">
        <v>118</v>
      </c>
      <c r="B5" s="8" t="s">
        <v>119</v>
      </c>
      <c r="C5" s="8" t="s">
        <v>120</v>
      </c>
      <c r="D5" s="8" t="s">
        <v>121</v>
      </c>
      <c r="E5" s="21" t="s">
        <v>122</v>
      </c>
      <c r="F5" s="21" t="s">
        <v>123</v>
      </c>
      <c r="G5" s="21" t="s">
        <v>124</v>
      </c>
      <c r="H5" s="8" t="s">
        <v>125</v>
      </c>
      <c r="I5" s="8" t="s">
        <v>126</v>
      </c>
      <c r="J5" s="22" t="n">
        <v>4</v>
      </c>
      <c r="K5" s="8" t="s">
        <v>127</v>
      </c>
      <c r="L5" s="22" t="n">
        <v>3</v>
      </c>
      <c r="M5" s="8" t="s">
        <v>128</v>
      </c>
      <c r="N5" s="11" t="n">
        <f aca="false">J5*L5</f>
        <v>12</v>
      </c>
      <c r="O5" s="21" t="str">
        <f aca="false">IF(N5&gt;=12,"Critique",IF(N5&gt;=8,"Élevé",IF(N5&gt;=4,"Modéré","Faible")))</f>
        <v>Critique</v>
      </c>
      <c r="P5" s="8" t="s">
        <v>129</v>
      </c>
      <c r="Q5" s="21" t="s">
        <v>130</v>
      </c>
      <c r="R5" s="8" t="s">
        <v>131</v>
      </c>
      <c r="S5" s="8" t="s">
        <v>132</v>
      </c>
      <c r="T5" s="8" t="s">
        <v>133</v>
      </c>
      <c r="U5" s="21" t="s">
        <v>134</v>
      </c>
      <c r="V5" s="22" t="n">
        <v>4</v>
      </c>
      <c r="W5" s="22" t="n">
        <v>1</v>
      </c>
      <c r="X5" s="11" t="n">
        <f aca="false">V5*W5</f>
        <v>4</v>
      </c>
      <c r="Y5" s="21" t="str">
        <f aca="false">IF(X5&gt;=12,"Critique",IF(X5&gt;=8,"Élevé",IF(X5&gt;=4,"Modéré","Faible")))</f>
        <v>Modéré</v>
      </c>
      <c r="Z5" s="8" t="s">
        <v>135</v>
      </c>
    </row>
    <row r="6" customFormat="false" ht="150" hidden="false" customHeight="true" outlineLevel="0" collapsed="false">
      <c r="A6" s="23" t="s">
        <v>136</v>
      </c>
      <c r="B6" s="24" t="s">
        <v>137</v>
      </c>
      <c r="C6" s="24" t="s">
        <v>138</v>
      </c>
      <c r="D6" s="24" t="s">
        <v>139</v>
      </c>
      <c r="E6" s="25" t="s">
        <v>140</v>
      </c>
      <c r="F6" s="25" t="s">
        <v>141</v>
      </c>
      <c r="G6" s="25" t="s">
        <v>142</v>
      </c>
      <c r="H6" s="24" t="s">
        <v>143</v>
      </c>
      <c r="I6" s="24" t="s">
        <v>144</v>
      </c>
      <c r="J6" s="26" t="n">
        <v>4</v>
      </c>
      <c r="K6" s="24" t="s">
        <v>145</v>
      </c>
      <c r="L6" s="26" t="n">
        <v>3</v>
      </c>
      <c r="M6" s="24" t="s">
        <v>146</v>
      </c>
      <c r="N6" s="27" t="n">
        <f aca="false">J6*L6</f>
        <v>12</v>
      </c>
      <c r="O6" s="25" t="str">
        <f aca="false">IF(N6&gt;=12,"Critique",IF(N6&gt;=8,"Élevé",IF(N6&gt;=4,"Modéré","Faible")))</f>
        <v>Critique</v>
      </c>
      <c r="P6" s="24" t="s">
        <v>133</v>
      </c>
      <c r="Q6" s="25" t="s">
        <v>147</v>
      </c>
      <c r="R6" s="24" t="s">
        <v>148</v>
      </c>
      <c r="S6" s="24" t="s">
        <v>149</v>
      </c>
      <c r="T6" s="24" t="s">
        <v>150</v>
      </c>
      <c r="U6" s="25" t="s">
        <v>134</v>
      </c>
      <c r="V6" s="26" t="n">
        <v>3</v>
      </c>
      <c r="W6" s="26" t="n">
        <v>2</v>
      </c>
      <c r="X6" s="27" t="n">
        <f aca="false">V6*W6</f>
        <v>6</v>
      </c>
      <c r="Y6" s="25" t="str">
        <f aca="false">IF(X6&gt;=12,"Critique",IF(X6&gt;=8,"Élevé",IF(X6&gt;=4,"Modéré","Faible")))</f>
        <v>Modéré</v>
      </c>
      <c r="Z6" s="24" t="s">
        <v>151</v>
      </c>
    </row>
    <row r="7" customFormat="false" ht="150" hidden="false" customHeight="true" outlineLevel="0" collapsed="false">
      <c r="A7" s="20" t="s">
        <v>152</v>
      </c>
      <c r="B7" s="8" t="s">
        <v>153</v>
      </c>
      <c r="C7" s="8" t="s">
        <v>154</v>
      </c>
      <c r="D7" s="8" t="s">
        <v>155</v>
      </c>
      <c r="E7" s="21" t="s">
        <v>156</v>
      </c>
      <c r="F7" s="21" t="s">
        <v>157</v>
      </c>
      <c r="G7" s="21" t="s">
        <v>158</v>
      </c>
      <c r="H7" s="8" t="s">
        <v>159</v>
      </c>
      <c r="I7" s="8" t="s">
        <v>160</v>
      </c>
      <c r="J7" s="22" t="n">
        <v>4</v>
      </c>
      <c r="K7" s="8" t="s">
        <v>161</v>
      </c>
      <c r="L7" s="22" t="n">
        <v>3</v>
      </c>
      <c r="M7" s="8" t="s">
        <v>162</v>
      </c>
      <c r="N7" s="11" t="n">
        <f aca="false">J7*L7</f>
        <v>12</v>
      </c>
      <c r="O7" s="21" t="str">
        <f aca="false">IF(N7&gt;=12,"Critique",IF(N7&gt;=8,"Élevé",IF(N7&gt;=4,"Modéré","Faible")))</f>
        <v>Critique</v>
      </c>
      <c r="P7" s="8" t="s">
        <v>133</v>
      </c>
      <c r="Q7" s="21" t="s">
        <v>130</v>
      </c>
      <c r="R7" s="8" t="s">
        <v>163</v>
      </c>
      <c r="S7" s="8" t="s">
        <v>164</v>
      </c>
      <c r="T7" s="8" t="s">
        <v>133</v>
      </c>
      <c r="U7" s="21" t="s">
        <v>165</v>
      </c>
      <c r="V7" s="22" t="n">
        <v>4</v>
      </c>
      <c r="W7" s="22" t="n">
        <v>2</v>
      </c>
      <c r="X7" s="11" t="n">
        <f aca="false">V7*W7</f>
        <v>8</v>
      </c>
      <c r="Y7" s="21" t="str">
        <f aca="false">IF(X7&gt;=12,"Critique",IF(X7&gt;=8,"Élevé",IF(X7&gt;=4,"Modéré","Faible")))</f>
        <v>Élevé</v>
      </c>
      <c r="Z7" s="8" t="s">
        <v>166</v>
      </c>
    </row>
    <row r="8" customFormat="false" ht="150" hidden="false" customHeight="true" outlineLevel="0" collapsed="false">
      <c r="A8" s="23" t="s">
        <v>167</v>
      </c>
      <c r="B8" s="24" t="s">
        <v>168</v>
      </c>
      <c r="C8" s="24" t="s">
        <v>169</v>
      </c>
      <c r="D8" s="24" t="s">
        <v>170</v>
      </c>
      <c r="E8" s="25" t="s">
        <v>171</v>
      </c>
      <c r="F8" s="25" t="s">
        <v>172</v>
      </c>
      <c r="G8" s="25" t="s">
        <v>158</v>
      </c>
      <c r="H8" s="24" t="s">
        <v>173</v>
      </c>
      <c r="I8" s="24" t="s">
        <v>174</v>
      </c>
      <c r="J8" s="26" t="n">
        <v>4</v>
      </c>
      <c r="K8" s="24" t="s">
        <v>175</v>
      </c>
      <c r="L8" s="26" t="n">
        <v>2</v>
      </c>
      <c r="M8" s="24" t="s">
        <v>176</v>
      </c>
      <c r="N8" s="27" t="n">
        <f aca="false">J8*L8</f>
        <v>8</v>
      </c>
      <c r="O8" s="25" t="str">
        <f aca="false">IF(N8&gt;=12,"Critique",IF(N8&gt;=8,"Élevé",IF(N8&gt;=4,"Modéré","Faible")))</f>
        <v>Élevé</v>
      </c>
      <c r="P8" s="24" t="s">
        <v>133</v>
      </c>
      <c r="Q8" s="25" t="s">
        <v>130</v>
      </c>
      <c r="R8" s="24" t="s">
        <v>177</v>
      </c>
      <c r="S8" s="24" t="s">
        <v>178</v>
      </c>
      <c r="T8" s="24" t="s">
        <v>150</v>
      </c>
      <c r="U8" s="25" t="s">
        <v>179</v>
      </c>
      <c r="V8" s="26" t="n">
        <v>4</v>
      </c>
      <c r="W8" s="26" t="n">
        <v>1</v>
      </c>
      <c r="X8" s="27" t="n">
        <f aca="false">V8*W8</f>
        <v>4</v>
      </c>
      <c r="Y8" s="25" t="str">
        <f aca="false">IF(X8&gt;=12,"Critique",IF(X8&gt;=8,"Élevé",IF(X8&gt;=4,"Modéré","Faible")))</f>
        <v>Modéré</v>
      </c>
      <c r="Z8" s="24" t="s">
        <v>151</v>
      </c>
    </row>
    <row r="9" customFormat="false" ht="150" hidden="false" customHeight="true" outlineLevel="0" collapsed="false">
      <c r="A9" s="20" t="s">
        <v>180</v>
      </c>
      <c r="B9" s="8" t="s">
        <v>181</v>
      </c>
      <c r="C9" s="8" t="s">
        <v>182</v>
      </c>
      <c r="D9" s="8" t="s">
        <v>183</v>
      </c>
      <c r="E9" s="21" t="s">
        <v>184</v>
      </c>
      <c r="F9" s="21" t="s">
        <v>185</v>
      </c>
      <c r="G9" s="21" t="s">
        <v>186</v>
      </c>
      <c r="H9" s="8" t="s">
        <v>187</v>
      </c>
      <c r="I9" s="8" t="s">
        <v>188</v>
      </c>
      <c r="J9" s="22" t="n">
        <v>4</v>
      </c>
      <c r="K9" s="8" t="s">
        <v>189</v>
      </c>
      <c r="L9" s="22" t="n">
        <v>2</v>
      </c>
      <c r="M9" s="8" t="s">
        <v>190</v>
      </c>
      <c r="N9" s="11" t="n">
        <f aca="false">J9*L9</f>
        <v>8</v>
      </c>
      <c r="O9" s="21" t="str">
        <f aca="false">IF(N9&gt;=12,"Critique",IF(N9&gt;=8,"Élevé",IF(N9&gt;=4,"Modéré","Faible")))</f>
        <v>Élevé</v>
      </c>
      <c r="P9" s="8" t="s">
        <v>133</v>
      </c>
      <c r="Q9" s="21" t="s">
        <v>130</v>
      </c>
      <c r="R9" s="8" t="s">
        <v>191</v>
      </c>
      <c r="S9" s="8" t="s">
        <v>192</v>
      </c>
      <c r="T9" s="8" t="s">
        <v>133</v>
      </c>
      <c r="U9" s="21" t="s">
        <v>179</v>
      </c>
      <c r="V9" s="22" t="n">
        <v>4</v>
      </c>
      <c r="W9" s="22" t="n">
        <v>1</v>
      </c>
      <c r="X9" s="11" t="n">
        <f aca="false">V9*W9</f>
        <v>4</v>
      </c>
      <c r="Y9" s="21" t="str">
        <f aca="false">IF(X9&gt;=12,"Critique",IF(X9&gt;=8,"Élevé",IF(X9&gt;=4,"Modéré","Faible")))</f>
        <v>Modéré</v>
      </c>
      <c r="Z9" s="8" t="s">
        <v>151</v>
      </c>
    </row>
    <row r="10" customFormat="false" ht="150" hidden="false" customHeight="true" outlineLevel="0" collapsed="false">
      <c r="A10" s="23" t="s">
        <v>193</v>
      </c>
      <c r="B10" s="24" t="s">
        <v>194</v>
      </c>
      <c r="C10" s="24" t="s">
        <v>195</v>
      </c>
      <c r="D10" s="24" t="s">
        <v>196</v>
      </c>
      <c r="E10" s="25" t="s">
        <v>197</v>
      </c>
      <c r="F10" s="25" t="s">
        <v>198</v>
      </c>
      <c r="G10" s="25" t="s">
        <v>199</v>
      </c>
      <c r="H10" s="24" t="s">
        <v>200</v>
      </c>
      <c r="I10" s="24" t="s">
        <v>201</v>
      </c>
      <c r="J10" s="26" t="n">
        <v>3</v>
      </c>
      <c r="K10" s="24" t="s">
        <v>202</v>
      </c>
      <c r="L10" s="26" t="n">
        <v>2</v>
      </c>
      <c r="M10" s="24" t="s">
        <v>203</v>
      </c>
      <c r="N10" s="27" t="n">
        <f aca="false">J10*L10</f>
        <v>6</v>
      </c>
      <c r="O10" s="25" t="str">
        <f aca="false">IF(N10&gt;=12,"Critique",IF(N10&gt;=8,"Élevé",IF(N10&gt;=4,"Modéré","Faible")))</f>
        <v>Modéré</v>
      </c>
      <c r="P10" s="24" t="s">
        <v>204</v>
      </c>
      <c r="Q10" s="25" t="s">
        <v>130</v>
      </c>
      <c r="R10" s="24" t="s">
        <v>205</v>
      </c>
      <c r="S10" s="24" t="s">
        <v>206</v>
      </c>
      <c r="T10" s="24" t="s">
        <v>133</v>
      </c>
      <c r="U10" s="25" t="s">
        <v>179</v>
      </c>
      <c r="V10" s="26" t="n">
        <v>3</v>
      </c>
      <c r="W10" s="26" t="n">
        <v>1</v>
      </c>
      <c r="X10" s="27" t="n">
        <f aca="false">V10*W10</f>
        <v>3</v>
      </c>
      <c r="Y10" s="25" t="str">
        <f aca="false">IF(X10&gt;=12,"Critique",IF(X10&gt;=8,"Élevé",IF(X10&gt;=4,"Modéré","Faible")))</f>
        <v>Faible</v>
      </c>
      <c r="Z10" s="24" t="s">
        <v>207</v>
      </c>
    </row>
    <row r="11" customFormat="false" ht="150" hidden="false" customHeight="true" outlineLevel="0" collapsed="false">
      <c r="A11" s="20" t="s">
        <v>208</v>
      </c>
      <c r="B11" s="8" t="s">
        <v>209</v>
      </c>
      <c r="C11" s="8" t="s">
        <v>210</v>
      </c>
      <c r="D11" s="8" t="s">
        <v>211</v>
      </c>
      <c r="E11" s="21" t="s">
        <v>212</v>
      </c>
      <c r="F11" s="21" t="s">
        <v>213</v>
      </c>
      <c r="G11" s="21" t="s">
        <v>158</v>
      </c>
      <c r="H11" s="8" t="s">
        <v>214</v>
      </c>
      <c r="I11" s="8" t="s">
        <v>215</v>
      </c>
      <c r="J11" s="22" t="n">
        <v>3</v>
      </c>
      <c r="K11" s="8" t="s">
        <v>216</v>
      </c>
      <c r="L11" s="22" t="n">
        <v>3</v>
      </c>
      <c r="M11" s="8" t="s">
        <v>217</v>
      </c>
      <c r="N11" s="11" t="n">
        <f aca="false">J11*L11</f>
        <v>9</v>
      </c>
      <c r="O11" s="21" t="str">
        <f aca="false">IF(N11&gt;=12,"Critique",IF(N11&gt;=8,"Élevé",IF(N11&gt;=4,"Modéré","Faible")))</f>
        <v>Élevé</v>
      </c>
      <c r="P11" s="8" t="s">
        <v>218</v>
      </c>
      <c r="Q11" s="21" t="s">
        <v>130</v>
      </c>
      <c r="R11" s="8" t="s">
        <v>219</v>
      </c>
      <c r="S11" s="8" t="s">
        <v>220</v>
      </c>
      <c r="T11" s="8" t="s">
        <v>221</v>
      </c>
      <c r="U11" s="21" t="s">
        <v>134</v>
      </c>
      <c r="V11" s="22" t="n">
        <v>3</v>
      </c>
      <c r="W11" s="22" t="n">
        <v>1</v>
      </c>
      <c r="X11" s="11" t="n">
        <f aca="false">V11*W11</f>
        <v>3</v>
      </c>
      <c r="Y11" s="21" t="str">
        <f aca="false">IF(X11&gt;=12,"Critique",IF(X11&gt;=8,"Élevé",IF(X11&gt;=4,"Modéré","Faible")))</f>
        <v>Faible</v>
      </c>
      <c r="Z11" s="8" t="s">
        <v>222</v>
      </c>
    </row>
    <row r="12" customFormat="false" ht="150" hidden="false" customHeight="true" outlineLevel="0" collapsed="false">
      <c r="A12" s="23" t="s">
        <v>223</v>
      </c>
      <c r="B12" s="24" t="s">
        <v>224</v>
      </c>
      <c r="C12" s="24" t="s">
        <v>225</v>
      </c>
      <c r="D12" s="24" t="s">
        <v>226</v>
      </c>
      <c r="E12" s="25" t="s">
        <v>227</v>
      </c>
      <c r="F12" s="25" t="s">
        <v>228</v>
      </c>
      <c r="G12" s="25" t="s">
        <v>142</v>
      </c>
      <c r="H12" s="24" t="s">
        <v>229</v>
      </c>
      <c r="I12" s="24" t="s">
        <v>230</v>
      </c>
      <c r="J12" s="26" t="n">
        <v>3</v>
      </c>
      <c r="K12" s="24" t="s">
        <v>231</v>
      </c>
      <c r="L12" s="26" t="n">
        <v>3</v>
      </c>
      <c r="M12" s="24" t="s">
        <v>232</v>
      </c>
      <c r="N12" s="27" t="n">
        <f aca="false">J12*L12</f>
        <v>9</v>
      </c>
      <c r="O12" s="25" t="str">
        <f aca="false">IF(N12&gt;=12,"Critique",IF(N12&gt;=8,"Élevé",IF(N12&gt;=4,"Modéré","Faible")))</f>
        <v>Élevé</v>
      </c>
      <c r="P12" s="24" t="s">
        <v>133</v>
      </c>
      <c r="Q12" s="25" t="s">
        <v>130</v>
      </c>
      <c r="R12" s="24" t="s">
        <v>233</v>
      </c>
      <c r="S12" s="24" t="s">
        <v>234</v>
      </c>
      <c r="T12" s="24" t="s">
        <v>133</v>
      </c>
      <c r="U12" s="25" t="s">
        <v>179</v>
      </c>
      <c r="V12" s="26" t="n">
        <v>2</v>
      </c>
      <c r="W12" s="26" t="n">
        <v>2</v>
      </c>
      <c r="X12" s="27" t="n">
        <f aca="false">V12*W12</f>
        <v>4</v>
      </c>
      <c r="Y12" s="25" t="str">
        <f aca="false">IF(X12&gt;=12,"Critique",IF(X12&gt;=8,"Élevé",IF(X12&gt;=4,"Modéré","Faible")))</f>
        <v>Modéré</v>
      </c>
      <c r="Z12" s="24" t="s">
        <v>151</v>
      </c>
    </row>
    <row r="13" customFormat="false" ht="150" hidden="false" customHeight="true" outlineLevel="0" collapsed="false">
      <c r="A13" s="20" t="s">
        <v>235</v>
      </c>
      <c r="B13" s="8" t="s">
        <v>236</v>
      </c>
      <c r="C13" s="8" t="s">
        <v>237</v>
      </c>
      <c r="D13" s="8" t="s">
        <v>238</v>
      </c>
      <c r="E13" s="21" t="s">
        <v>239</v>
      </c>
      <c r="F13" s="21" t="s">
        <v>240</v>
      </c>
      <c r="G13" s="21" t="s">
        <v>158</v>
      </c>
      <c r="H13" s="8" t="s">
        <v>241</v>
      </c>
      <c r="I13" s="8" t="s">
        <v>242</v>
      </c>
      <c r="J13" s="22" t="n">
        <v>3</v>
      </c>
      <c r="K13" s="8" t="s">
        <v>243</v>
      </c>
      <c r="L13" s="22" t="n">
        <v>2</v>
      </c>
      <c r="M13" s="8" t="s">
        <v>244</v>
      </c>
      <c r="N13" s="11" t="n">
        <f aca="false">J13*L13</f>
        <v>6</v>
      </c>
      <c r="O13" s="21" t="str">
        <f aca="false">IF(N13&gt;=12,"Critique",IF(N13&gt;=8,"Élevé",IF(N13&gt;=4,"Modéré","Faible")))</f>
        <v>Modéré</v>
      </c>
      <c r="P13" s="8" t="s">
        <v>10</v>
      </c>
      <c r="Q13" s="21" t="s">
        <v>130</v>
      </c>
      <c r="R13" s="8" t="s">
        <v>245</v>
      </c>
      <c r="S13" s="8" t="s">
        <v>246</v>
      </c>
      <c r="T13" s="8" t="s">
        <v>8</v>
      </c>
      <c r="U13" s="21" t="s">
        <v>134</v>
      </c>
      <c r="V13" s="22" t="n">
        <v>2</v>
      </c>
      <c r="W13" s="22" t="n">
        <v>2</v>
      </c>
      <c r="X13" s="11" t="n">
        <f aca="false">V13*W13</f>
        <v>4</v>
      </c>
      <c r="Y13" s="21" t="str">
        <f aca="false">IF(X13&gt;=12,"Critique",IF(X13&gt;=8,"Élevé",IF(X13&gt;=4,"Modéré","Faible")))</f>
        <v>Modéré</v>
      </c>
      <c r="Z13" s="8" t="s">
        <v>247</v>
      </c>
    </row>
    <row r="14" customFormat="false" ht="150" hidden="false" customHeight="true" outlineLevel="0" collapsed="false">
      <c r="A14" s="23" t="s">
        <v>248</v>
      </c>
      <c r="B14" s="24" t="s">
        <v>249</v>
      </c>
      <c r="C14" s="24" t="s">
        <v>250</v>
      </c>
      <c r="D14" s="24" t="s">
        <v>251</v>
      </c>
      <c r="E14" s="25" t="s">
        <v>239</v>
      </c>
      <c r="F14" s="25" t="s">
        <v>252</v>
      </c>
      <c r="G14" s="25" t="s">
        <v>158</v>
      </c>
      <c r="H14" s="24" t="s">
        <v>253</v>
      </c>
      <c r="I14" s="24" t="s">
        <v>254</v>
      </c>
      <c r="J14" s="26" t="n">
        <v>2</v>
      </c>
      <c r="K14" s="24" t="s">
        <v>255</v>
      </c>
      <c r="L14" s="26" t="n">
        <v>3</v>
      </c>
      <c r="M14" s="24" t="s">
        <v>256</v>
      </c>
      <c r="N14" s="27" t="n">
        <f aca="false">J14*L14</f>
        <v>6</v>
      </c>
      <c r="O14" s="25" t="str">
        <f aca="false">IF(N14&gt;=12,"Critique",IF(N14&gt;=8,"Élevé",IF(N14&gt;=4,"Modéré","Faible")))</f>
        <v>Modéré</v>
      </c>
      <c r="P14" s="24" t="s">
        <v>133</v>
      </c>
      <c r="Q14" s="25" t="s">
        <v>130</v>
      </c>
      <c r="R14" s="24" t="s">
        <v>257</v>
      </c>
      <c r="S14" s="24" t="s">
        <v>258</v>
      </c>
      <c r="T14" s="24" t="s">
        <v>259</v>
      </c>
      <c r="U14" s="25" t="s">
        <v>179</v>
      </c>
      <c r="V14" s="26" t="n">
        <v>1</v>
      </c>
      <c r="W14" s="26" t="n">
        <v>3</v>
      </c>
      <c r="X14" s="27" t="n">
        <f aca="false">V14*W14</f>
        <v>3</v>
      </c>
      <c r="Y14" s="25" t="str">
        <f aca="false">IF(X14&gt;=12,"Critique",IF(X14&gt;=8,"Élevé",IF(X14&gt;=4,"Modéré","Faible")))</f>
        <v>Faible</v>
      </c>
      <c r="Z14" s="24" t="s">
        <v>151</v>
      </c>
    </row>
    <row r="15" customFormat="false" ht="150" hidden="false" customHeight="true" outlineLevel="0" collapsed="false">
      <c r="A15" s="20" t="s">
        <v>260</v>
      </c>
      <c r="B15" s="8" t="s">
        <v>261</v>
      </c>
      <c r="C15" s="8" t="s">
        <v>262</v>
      </c>
      <c r="D15" s="8" t="s">
        <v>263</v>
      </c>
      <c r="E15" s="21" t="s">
        <v>171</v>
      </c>
      <c r="F15" s="21" t="s">
        <v>264</v>
      </c>
      <c r="G15" s="21" t="s">
        <v>199</v>
      </c>
      <c r="H15" s="8" t="s">
        <v>265</v>
      </c>
      <c r="I15" s="8" t="s">
        <v>266</v>
      </c>
      <c r="J15" s="22" t="n">
        <v>3</v>
      </c>
      <c r="K15" s="8" t="s">
        <v>267</v>
      </c>
      <c r="L15" s="22" t="n">
        <v>2</v>
      </c>
      <c r="M15" s="8" t="s">
        <v>268</v>
      </c>
      <c r="N15" s="11" t="n">
        <f aca="false">J15*L15</f>
        <v>6</v>
      </c>
      <c r="O15" s="21" t="str">
        <f aca="false">IF(N15&gt;=12,"Critique",IF(N15&gt;=8,"Élevé",IF(N15&gt;=4,"Modéré","Faible")))</f>
        <v>Modéré</v>
      </c>
      <c r="P15" s="8" t="s">
        <v>129</v>
      </c>
      <c r="Q15" s="21" t="s">
        <v>130</v>
      </c>
      <c r="R15" s="8" t="s">
        <v>269</v>
      </c>
      <c r="S15" s="8" t="s">
        <v>270</v>
      </c>
      <c r="T15" s="8" t="s">
        <v>271</v>
      </c>
      <c r="U15" s="21" t="s">
        <v>272</v>
      </c>
      <c r="V15" s="22" t="n">
        <v>3</v>
      </c>
      <c r="W15" s="22" t="n">
        <v>1</v>
      </c>
      <c r="X15" s="11" t="n">
        <f aca="false">V15*W15</f>
        <v>3</v>
      </c>
      <c r="Y15" s="21" t="str">
        <f aca="false">IF(X15&gt;=12,"Critique",IF(X15&gt;=8,"Élevé",IF(X15&gt;=4,"Modéré","Faible")))</f>
        <v>Faible</v>
      </c>
      <c r="Z15" s="8" t="s">
        <v>135</v>
      </c>
    </row>
    <row r="16" customFormat="false" ht="150" hidden="false" customHeight="true" outlineLevel="0" collapsed="false">
      <c r="A16" s="23" t="s">
        <v>273</v>
      </c>
      <c r="B16" s="24" t="s">
        <v>274</v>
      </c>
      <c r="C16" s="24" t="s">
        <v>275</v>
      </c>
      <c r="D16" s="24" t="s">
        <v>276</v>
      </c>
      <c r="E16" s="25" t="s">
        <v>197</v>
      </c>
      <c r="F16" s="25" t="s">
        <v>277</v>
      </c>
      <c r="G16" s="25" t="s">
        <v>158</v>
      </c>
      <c r="H16" s="24" t="s">
        <v>278</v>
      </c>
      <c r="I16" s="24" t="s">
        <v>279</v>
      </c>
      <c r="J16" s="26" t="n">
        <v>3</v>
      </c>
      <c r="K16" s="24" t="s">
        <v>280</v>
      </c>
      <c r="L16" s="26" t="n">
        <v>1</v>
      </c>
      <c r="M16" s="24" t="s">
        <v>281</v>
      </c>
      <c r="N16" s="27" t="n">
        <f aca="false">J16*L16</f>
        <v>3</v>
      </c>
      <c r="O16" s="25" t="str">
        <f aca="false">IF(N16&gt;=12,"Critique",IF(N16&gt;=8,"Élevé",IF(N16&gt;=4,"Modéré","Faible")))</f>
        <v>Faible</v>
      </c>
      <c r="P16" s="24" t="s">
        <v>10</v>
      </c>
      <c r="Q16" s="25" t="s">
        <v>282</v>
      </c>
      <c r="R16" s="24" t="s">
        <v>283</v>
      </c>
      <c r="S16" s="24" t="s">
        <v>284</v>
      </c>
      <c r="T16" s="24" t="s">
        <v>285</v>
      </c>
      <c r="U16" s="25" t="s">
        <v>286</v>
      </c>
      <c r="V16" s="26" t="n">
        <v>3</v>
      </c>
      <c r="W16" s="26" t="n">
        <v>1</v>
      </c>
      <c r="X16" s="27" t="n">
        <f aca="false">V16*W16</f>
        <v>3</v>
      </c>
      <c r="Y16" s="25" t="str">
        <f aca="false">IF(X16&gt;=12,"Critique",IF(X16&gt;=8,"Élevé",IF(X16&gt;=4,"Modéré","Faible")))</f>
        <v>Faible</v>
      </c>
      <c r="Z16" s="24" t="s">
        <v>247</v>
      </c>
    </row>
  </sheetData>
  <autoFilter ref="A4:Z16"/>
  <mergeCells count="2">
    <mergeCell ref="A3:P3"/>
    <mergeCell ref="Q3:Z3"/>
  </mergeCells>
  <conditionalFormatting sqref="O5:O16">
    <cfRule type="cellIs" priority="2" operator="equal" aboveAverage="0" equalAverage="0" bottom="0" percent="0" rank="0" text="" dxfId="0">
      <formula>"Critique"</formula>
    </cfRule>
    <cfRule type="cellIs" priority="3" operator="equal" aboveAverage="0" equalAverage="0" bottom="0" percent="0" rank="0" text="" dxfId="1">
      <formula>"Élevé"</formula>
    </cfRule>
    <cfRule type="cellIs" priority="4" operator="equal" aboveAverage="0" equalAverage="0" bottom="0" percent="0" rank="0" text="" dxfId="2">
      <formula>"Modéré"</formula>
    </cfRule>
    <cfRule type="cellIs" priority="5" operator="equal" aboveAverage="0" equalAverage="0" bottom="0" percent="0" rank="0" text="" dxfId="3">
      <formula>"Faible"</formula>
    </cfRule>
  </conditionalFormatting>
  <conditionalFormatting sqref="Y5:Y16">
    <cfRule type="cellIs" priority="6" operator="equal" aboveAverage="0" equalAverage="0" bottom="0" percent="0" rank="0" text="" dxfId="0">
      <formula>"Critique"</formula>
    </cfRule>
    <cfRule type="cellIs" priority="7" operator="equal" aboveAverage="0" equalAverage="0" bottom="0" percent="0" rank="0" text="" dxfId="1">
      <formula>"Élevé"</formula>
    </cfRule>
    <cfRule type="cellIs" priority="8" operator="equal" aboveAverage="0" equalAverage="0" bottom="0" percent="0" rank="0" text="" dxfId="2">
      <formula>"Modéré"</formula>
    </cfRule>
    <cfRule type="cellIs" priority="9" operator="equal" aboveAverage="0" equalAverage="0" bottom="0" percent="0" rank="0" text="" dxfId="3">
      <formula>"Faible"</formula>
    </cfRule>
  </conditionalFormatting>
  <conditionalFormatting sqref="N5:N16">
    <cfRule type="cellIs" priority="10" operator="between" aboveAverage="0" equalAverage="0" bottom="0" percent="0" rank="0" text="" dxfId="0">
      <formula>12</formula>
      <formula>16</formula>
    </cfRule>
    <cfRule type="cellIs" priority="11" operator="between" aboveAverage="0" equalAverage="0" bottom="0" percent="0" rank="0" text="" dxfId="1">
      <formula>8</formula>
      <formula>11</formula>
    </cfRule>
    <cfRule type="cellIs" priority="12" operator="between" aboveAverage="0" equalAverage="0" bottom="0" percent="0" rank="0" text="" dxfId="2">
      <formula>4</formula>
      <formula>7</formula>
    </cfRule>
    <cfRule type="cellIs" priority="13" operator="between" aboveAverage="0" equalAverage="0" bottom="0" percent="0" rank="0" text="" dxfId="3">
      <formula>1</formula>
      <formula>3</formula>
    </cfRule>
  </conditionalFormatting>
  <conditionalFormatting sqref="X5:X16">
    <cfRule type="cellIs" priority="14" operator="between" aboveAverage="0" equalAverage="0" bottom="0" percent="0" rank="0" text="" dxfId="0">
      <formula>12</formula>
      <formula>16</formula>
    </cfRule>
    <cfRule type="cellIs" priority="15" operator="between" aboveAverage="0" equalAverage="0" bottom="0" percent="0" rank="0" text="" dxfId="1">
      <formula>8</formula>
      <formula>11</formula>
    </cfRule>
    <cfRule type="cellIs" priority="16" operator="between" aboveAverage="0" equalAverage="0" bottom="0" percent="0" rank="0" text="" dxfId="2">
      <formula>4</formula>
      <formula>7</formula>
    </cfRule>
    <cfRule type="cellIs" priority="17" operator="between" aboveAverage="0" equalAverage="0" bottom="0" percent="0" rank="0" text="" dxfId="3">
      <formula>1</formula>
      <formula>3</formula>
    </cfRule>
  </conditionalFormatting>
  <dataValidations count="1">
    <dataValidation allowBlank="false" error="Saisir un entier de 1 à 4." errorStyle="stop" errorTitle="Valeur invalide" operator="between" showDropDown="false" showErrorMessage="true" showInputMessage="false" sqref="J5:J16 L5:L16 V5:W16" type="whole">
      <formula1>1</formula1>
      <formula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5" min="2" style="0" width="16"/>
    <col collapsed="false" customWidth="true" hidden="false" outlineLevel="0" max="6" min="6" style="0" width="4"/>
    <col collapsed="false" customWidth="true" hidden="false" outlineLevel="0" max="7" min="7" style="0" width="30"/>
    <col collapsed="false" customWidth="true" hidden="false" outlineLevel="0" max="11" min="8" style="0" width="16"/>
  </cols>
  <sheetData>
    <row r="1" customFormat="false" ht="16.15" hidden="false" customHeight="false" outlineLevel="0" collapsed="false">
      <c r="A1" s="16" t="s">
        <v>287</v>
      </c>
    </row>
    <row r="2" customFormat="false" ht="15" hidden="false" customHeight="false" outlineLevel="0" collapsed="false">
      <c r="A2" s="17" t="s">
        <v>288</v>
      </c>
    </row>
    <row r="3" customFormat="false" ht="15" hidden="false" customHeight="false" outlineLevel="0" collapsed="false">
      <c r="A3" s="28" t="s">
        <v>289</v>
      </c>
      <c r="G3" s="28" t="s">
        <v>290</v>
      </c>
    </row>
    <row r="4" customFormat="false" ht="15" hidden="false" customHeight="false" outlineLevel="0" collapsed="false">
      <c r="A4" s="2" t="s">
        <v>291</v>
      </c>
      <c r="B4" s="10" t="s">
        <v>292</v>
      </c>
      <c r="C4" s="10" t="s">
        <v>293</v>
      </c>
      <c r="D4" s="10" t="s">
        <v>294</v>
      </c>
      <c r="E4" s="10" t="s">
        <v>295</v>
      </c>
      <c r="G4" s="2" t="s">
        <v>291</v>
      </c>
      <c r="H4" s="10" t="s">
        <v>292</v>
      </c>
      <c r="I4" s="10" t="s">
        <v>293</v>
      </c>
      <c r="J4" s="10" t="s">
        <v>294</v>
      </c>
      <c r="K4" s="10" t="s">
        <v>295</v>
      </c>
    </row>
    <row r="5" customFormat="false" ht="39.75" hidden="false" customHeight="true" outlineLevel="0" collapsed="false">
      <c r="A5" s="10" t="s">
        <v>296</v>
      </c>
      <c r="B5" s="29" t="n">
        <f aca="false">COUNTIFS(Registre!$J$5:$J$16,1,Registre!$L$5:$L$16,4)</f>
        <v>0</v>
      </c>
      <c r="C5" s="30" t="n">
        <f aca="false">COUNTIFS(Registre!$J$5:$J$16,2,Registre!$L$5:$L$16,4)</f>
        <v>0</v>
      </c>
      <c r="D5" s="31" t="n">
        <f aca="false">COUNTIFS(Registre!$J$5:$J$16,3,Registre!$L$5:$L$16,4)</f>
        <v>0</v>
      </c>
      <c r="E5" s="31" t="n">
        <f aca="false">COUNTIFS(Registre!$J$5:$J$16,4,Registre!$L$5:$L$16,4)</f>
        <v>0</v>
      </c>
      <c r="G5" s="10" t="s">
        <v>296</v>
      </c>
      <c r="H5" s="29" t="n">
        <f aca="false">COUNTIFS(Registre!$V$5:$V$16,1,Registre!$W$5:$W$16,4)</f>
        <v>0</v>
      </c>
      <c r="I5" s="30" t="n">
        <f aca="false">COUNTIFS(Registre!$V$5:$V$16,2,Registre!$W$5:$W$16,4)</f>
        <v>0</v>
      </c>
      <c r="J5" s="31" t="n">
        <f aca="false">COUNTIFS(Registre!$V$5:$V$16,3,Registre!$W$5:$W$16,4)</f>
        <v>0</v>
      </c>
      <c r="K5" s="31" t="n">
        <f aca="false">COUNTIFS(Registre!$V$5:$V$16,4,Registre!$W$5:$W$16,4)</f>
        <v>0</v>
      </c>
    </row>
    <row r="6" customFormat="false" ht="39.75" hidden="false" customHeight="true" outlineLevel="0" collapsed="false">
      <c r="A6" s="10" t="s">
        <v>297</v>
      </c>
      <c r="B6" s="32" t="n">
        <f aca="false">COUNTIFS(Registre!$J$5:$J$16,1,Registre!$L$5:$L$16,3)</f>
        <v>0</v>
      </c>
      <c r="C6" s="29" t="n">
        <f aca="false">COUNTIFS(Registre!$J$5:$J$16,2,Registre!$L$5:$L$16,3)</f>
        <v>1</v>
      </c>
      <c r="D6" s="30" t="n">
        <f aca="false">COUNTIFS(Registre!$J$5:$J$16,3,Registre!$L$5:$L$16,3)</f>
        <v>2</v>
      </c>
      <c r="E6" s="31" t="n">
        <f aca="false">COUNTIFS(Registre!$J$5:$J$16,4,Registre!$L$5:$L$16,3)</f>
        <v>3</v>
      </c>
      <c r="G6" s="10" t="s">
        <v>297</v>
      </c>
      <c r="H6" s="32" t="n">
        <f aca="false">COUNTIFS(Registre!$V$5:$V$16,1,Registre!$W$5:$W$16,3)</f>
        <v>1</v>
      </c>
      <c r="I6" s="29" t="n">
        <f aca="false">COUNTIFS(Registre!$V$5:$V$16,2,Registre!$W$5:$W$16,3)</f>
        <v>0</v>
      </c>
      <c r="J6" s="30" t="n">
        <f aca="false">COUNTIFS(Registre!$V$5:$V$16,3,Registre!$W$5:$W$16,3)</f>
        <v>0</v>
      </c>
      <c r="K6" s="31" t="n">
        <f aca="false">COUNTIFS(Registre!$V$5:$V$16,4,Registre!$W$5:$W$16,3)</f>
        <v>0</v>
      </c>
    </row>
    <row r="7" customFormat="false" ht="39.75" hidden="false" customHeight="true" outlineLevel="0" collapsed="false">
      <c r="A7" s="10" t="s">
        <v>298</v>
      </c>
      <c r="B7" s="32" t="n">
        <f aca="false">COUNTIFS(Registre!$J$5:$J$16,1,Registre!$L$5:$L$16,2)</f>
        <v>0</v>
      </c>
      <c r="C7" s="29" t="n">
        <f aca="false">COUNTIFS(Registre!$J$5:$J$16,2,Registre!$L$5:$L$16,2)</f>
        <v>0</v>
      </c>
      <c r="D7" s="29" t="n">
        <f aca="false">COUNTIFS(Registre!$J$5:$J$16,3,Registre!$L$5:$L$16,2)</f>
        <v>3</v>
      </c>
      <c r="E7" s="30" t="n">
        <f aca="false">COUNTIFS(Registre!$J$5:$J$16,4,Registre!$L$5:$L$16,2)</f>
        <v>2</v>
      </c>
      <c r="G7" s="10" t="s">
        <v>298</v>
      </c>
      <c r="H7" s="32" t="n">
        <f aca="false">COUNTIFS(Registre!$V$5:$V$16,1,Registre!$W$5:$W$16,2)</f>
        <v>0</v>
      </c>
      <c r="I7" s="29" t="n">
        <f aca="false">COUNTIFS(Registre!$V$5:$V$16,2,Registre!$W$5:$W$16,2)</f>
        <v>2</v>
      </c>
      <c r="J7" s="29" t="n">
        <f aca="false">COUNTIFS(Registre!$V$5:$V$16,3,Registre!$W$5:$W$16,2)</f>
        <v>1</v>
      </c>
      <c r="K7" s="30" t="n">
        <f aca="false">COUNTIFS(Registre!$V$5:$V$16,4,Registre!$W$5:$W$16,2)</f>
        <v>1</v>
      </c>
    </row>
    <row r="8" customFormat="false" ht="39.75" hidden="false" customHeight="true" outlineLevel="0" collapsed="false">
      <c r="A8" s="10" t="s">
        <v>299</v>
      </c>
      <c r="B8" s="32" t="n">
        <f aca="false">COUNTIFS(Registre!$J$5:$J$16,1,Registre!$L$5:$L$16,1)</f>
        <v>0</v>
      </c>
      <c r="C8" s="32" t="n">
        <f aca="false">COUNTIFS(Registre!$J$5:$J$16,2,Registre!$L$5:$L$16,1)</f>
        <v>0</v>
      </c>
      <c r="D8" s="32" t="n">
        <f aca="false">COUNTIFS(Registre!$J$5:$J$16,3,Registre!$L$5:$L$16,1)</f>
        <v>1</v>
      </c>
      <c r="E8" s="29" t="n">
        <f aca="false">COUNTIFS(Registre!$J$5:$J$16,4,Registre!$L$5:$L$16,1)</f>
        <v>0</v>
      </c>
      <c r="G8" s="10" t="s">
        <v>299</v>
      </c>
      <c r="H8" s="32" t="n">
        <f aca="false">COUNTIFS(Registre!$V$5:$V$16,1,Registre!$W$5:$W$16,1)</f>
        <v>0</v>
      </c>
      <c r="I8" s="32" t="n">
        <f aca="false">COUNTIFS(Registre!$V$5:$V$16,2,Registre!$W$5:$W$16,1)</f>
        <v>0</v>
      </c>
      <c r="J8" s="32" t="n">
        <f aca="false">COUNTIFS(Registre!$V$5:$V$16,3,Registre!$W$5:$W$16,1)</f>
        <v>4</v>
      </c>
      <c r="K8" s="29" t="n">
        <f aca="false">COUNTIFS(Registre!$V$5:$V$16,4,Registre!$W$5:$W$16,1)</f>
        <v>3</v>
      </c>
    </row>
    <row r="11" customFormat="false" ht="15" hidden="false" customHeight="false" outlineLevel="0" collapsed="false">
      <c r="A11" s="4" t="s">
        <v>300</v>
      </c>
    </row>
    <row r="12" customFormat="false" ht="15" hidden="false" customHeight="false" outlineLevel="0" collapsed="false">
      <c r="A12" s="10" t="s">
        <v>71</v>
      </c>
      <c r="B12" s="10" t="s">
        <v>301</v>
      </c>
      <c r="C12" s="10" t="s">
        <v>302</v>
      </c>
    </row>
    <row r="13" customFormat="false" ht="15" hidden="false" customHeight="false" outlineLevel="0" collapsed="false">
      <c r="A13" s="33" t="s">
        <v>52</v>
      </c>
      <c r="B13" s="20" t="n">
        <f aca="false">COUNTIF(Registre!$O$5:$O$16,"Critique")</f>
        <v>3</v>
      </c>
      <c r="C13" s="20" t="n">
        <f aca="false">COUNTIF(Registre!$Y$5:$Y$16,"Critique")</f>
        <v>0</v>
      </c>
    </row>
    <row r="14" customFormat="false" ht="15" hidden="false" customHeight="false" outlineLevel="0" collapsed="false">
      <c r="A14" s="34" t="s">
        <v>78</v>
      </c>
      <c r="B14" s="20" t="n">
        <f aca="false">COUNTIF(Registre!$O$5:$O$16,"Élevé")</f>
        <v>4</v>
      </c>
      <c r="C14" s="20" t="n">
        <f aca="false">COUNTIF(Registre!$Y$5:$Y$16,"Élevé")</f>
        <v>1</v>
      </c>
    </row>
    <row r="15" customFormat="false" ht="15" hidden="false" customHeight="false" outlineLevel="0" collapsed="false">
      <c r="A15" s="35" t="s">
        <v>82</v>
      </c>
      <c r="B15" s="20" t="n">
        <f aca="false">COUNTIF(Registre!$O$5:$O$16,"Modéré")</f>
        <v>4</v>
      </c>
      <c r="C15" s="20" t="n">
        <f aca="false">COUNTIF(Registre!$Y$5:$Y$16,"Modéré")</f>
        <v>6</v>
      </c>
    </row>
    <row r="16" customFormat="false" ht="15" hidden="false" customHeight="false" outlineLevel="0" collapsed="false">
      <c r="A16" s="36" t="s">
        <v>86</v>
      </c>
      <c r="B16" s="20" t="n">
        <f aca="false">COUNTIF(Registre!$O$5:$O$16,"Faible")</f>
        <v>1</v>
      </c>
      <c r="C16" s="20" t="n">
        <f aca="false">COUNTIF(Registre!$Y$5:$Y$16,"Faible")</f>
        <v>5</v>
      </c>
    </row>
    <row r="17" customFormat="false" ht="15" hidden="false" customHeight="false" outlineLevel="0" collapsed="false">
      <c r="A17" s="37" t="s">
        <v>303</v>
      </c>
      <c r="B17" s="20" t="n">
        <f aca="false">SUM(B13:B16)</f>
        <v>12</v>
      </c>
      <c r="C17" s="20" t="n">
        <f aca="false">SUM(C13:C16)</f>
        <v>12</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60"/>
    <col collapsed="false" customWidth="true" hidden="false" outlineLevel="0" max="3" min="3" style="0" width="26"/>
    <col collapsed="false" customWidth="true" hidden="false" outlineLevel="0" max="4" min="4" style="0" width="12"/>
  </cols>
  <sheetData>
    <row r="1" customFormat="false" ht="16.15" hidden="false" customHeight="false" outlineLevel="0" collapsed="false">
      <c r="A1" s="16" t="s">
        <v>304</v>
      </c>
    </row>
    <row r="2" customFormat="false" ht="15" hidden="false" customHeight="false" outlineLevel="0" collapsed="false">
      <c r="A2" s="17" t="s">
        <v>305</v>
      </c>
    </row>
    <row r="4" customFormat="false" ht="23.85" hidden="false" customHeight="false" outlineLevel="0" collapsed="false">
      <c r="A4" s="6" t="s">
        <v>306</v>
      </c>
      <c r="B4" s="6" t="s">
        <v>307</v>
      </c>
      <c r="C4" s="6" t="s">
        <v>308</v>
      </c>
      <c r="D4" s="6" t="s">
        <v>309</v>
      </c>
    </row>
    <row r="5" customFormat="false" ht="15" hidden="false" customHeight="false" outlineLevel="0" collapsed="false">
      <c r="A5" s="20" t="s">
        <v>310</v>
      </c>
      <c r="B5" s="8" t="s">
        <v>311</v>
      </c>
      <c r="C5" s="8" t="s">
        <v>208</v>
      </c>
      <c r="D5" s="21" t="n">
        <v>1</v>
      </c>
    </row>
    <row r="6" customFormat="false" ht="15" hidden="false" customHeight="false" outlineLevel="0" collapsed="false">
      <c r="A6" s="20" t="s">
        <v>312</v>
      </c>
      <c r="B6" s="8" t="s">
        <v>313</v>
      </c>
      <c r="C6" s="8" t="s">
        <v>180</v>
      </c>
      <c r="D6" s="21" t="n">
        <v>1</v>
      </c>
    </row>
    <row r="7" customFormat="false" ht="15" hidden="false" customHeight="false" outlineLevel="0" collapsed="false">
      <c r="A7" s="20" t="s">
        <v>314</v>
      </c>
      <c r="B7" s="8" t="s">
        <v>315</v>
      </c>
      <c r="C7" s="8" t="s">
        <v>316</v>
      </c>
      <c r="D7" s="21" t="n">
        <v>2</v>
      </c>
    </row>
    <row r="8" customFormat="false" ht="15" hidden="false" customHeight="false" outlineLevel="0" collapsed="false">
      <c r="A8" s="20" t="s">
        <v>317</v>
      </c>
      <c r="B8" s="8" t="s">
        <v>318</v>
      </c>
      <c r="C8" s="8" t="s">
        <v>260</v>
      </c>
      <c r="D8" s="21" t="n">
        <v>1</v>
      </c>
    </row>
    <row r="9" customFormat="false" ht="15" hidden="false" customHeight="false" outlineLevel="0" collapsed="false">
      <c r="A9" s="20" t="s">
        <v>319</v>
      </c>
      <c r="B9" s="8" t="s">
        <v>320</v>
      </c>
      <c r="C9" s="8" t="s">
        <v>260</v>
      </c>
      <c r="D9" s="21" t="n">
        <v>1</v>
      </c>
    </row>
    <row r="10" customFormat="false" ht="15" hidden="false" customHeight="false" outlineLevel="0" collapsed="false">
      <c r="A10" s="20" t="s">
        <v>321</v>
      </c>
      <c r="B10" s="8" t="s">
        <v>322</v>
      </c>
      <c r="C10" s="8" t="s">
        <v>167</v>
      </c>
      <c r="D10" s="21" t="n">
        <v>1</v>
      </c>
    </row>
    <row r="11" customFormat="false" ht="15" hidden="false" customHeight="false" outlineLevel="0" collapsed="false">
      <c r="A11" s="20" t="s">
        <v>323</v>
      </c>
      <c r="B11" s="8" t="s">
        <v>324</v>
      </c>
      <c r="C11" s="8" t="s">
        <v>136</v>
      </c>
      <c r="D11" s="21" t="n">
        <v>1</v>
      </c>
    </row>
    <row r="12" customFormat="false" ht="15" hidden="false" customHeight="false" outlineLevel="0" collapsed="false">
      <c r="A12" s="20" t="s">
        <v>325</v>
      </c>
      <c r="B12" s="8" t="s">
        <v>326</v>
      </c>
      <c r="C12" s="8" t="s">
        <v>136</v>
      </c>
      <c r="D12" s="21" t="n">
        <v>1</v>
      </c>
    </row>
    <row r="13" customFormat="false" ht="15" hidden="false" customHeight="false" outlineLevel="0" collapsed="false">
      <c r="A13" s="20" t="s">
        <v>327</v>
      </c>
      <c r="B13" s="8" t="s">
        <v>328</v>
      </c>
      <c r="C13" s="8" t="s">
        <v>223</v>
      </c>
      <c r="D13" s="21" t="n">
        <v>1</v>
      </c>
    </row>
    <row r="14" customFormat="false" ht="15" hidden="false" customHeight="false" outlineLevel="0" collapsed="false">
      <c r="A14" s="20" t="s">
        <v>329</v>
      </c>
      <c r="B14" s="8" t="s">
        <v>330</v>
      </c>
      <c r="C14" s="8" t="s">
        <v>235</v>
      </c>
      <c r="D14" s="21" t="n">
        <v>1</v>
      </c>
    </row>
    <row r="15" customFormat="false" ht="15" hidden="false" customHeight="false" outlineLevel="0" collapsed="false">
      <c r="A15" s="20" t="s">
        <v>331</v>
      </c>
      <c r="B15" s="8" t="s">
        <v>332</v>
      </c>
      <c r="C15" s="8" t="s">
        <v>208</v>
      </c>
      <c r="D15" s="21" t="n">
        <v>1</v>
      </c>
    </row>
    <row r="16" customFormat="false" ht="15" hidden="false" customHeight="false" outlineLevel="0" collapsed="false">
      <c r="A16" s="20" t="s">
        <v>333</v>
      </c>
      <c r="B16" s="8" t="s">
        <v>334</v>
      </c>
      <c r="C16" s="8" t="s">
        <v>235</v>
      </c>
      <c r="D16" s="21" t="n">
        <v>1</v>
      </c>
    </row>
    <row r="17" customFormat="false" ht="15" hidden="false" customHeight="false" outlineLevel="0" collapsed="false">
      <c r="A17" s="20" t="s">
        <v>335</v>
      </c>
      <c r="B17" s="8" t="s">
        <v>336</v>
      </c>
      <c r="C17" s="8" t="s">
        <v>248</v>
      </c>
      <c r="D17" s="21" t="n">
        <v>1</v>
      </c>
    </row>
    <row r="18" customFormat="false" ht="15" hidden="false" customHeight="false" outlineLevel="0" collapsed="false">
      <c r="A18" s="20" t="s">
        <v>337</v>
      </c>
      <c r="B18" s="8" t="s">
        <v>338</v>
      </c>
      <c r="C18" s="8" t="s">
        <v>248</v>
      </c>
      <c r="D18" s="21" t="n">
        <v>1</v>
      </c>
    </row>
    <row r="19" customFormat="false" ht="15" hidden="false" customHeight="false" outlineLevel="0" collapsed="false">
      <c r="A19" s="20" t="s">
        <v>339</v>
      </c>
      <c r="B19" s="8" t="s">
        <v>340</v>
      </c>
      <c r="C19" s="8" t="s">
        <v>136</v>
      </c>
      <c r="D19" s="21" t="n">
        <v>1</v>
      </c>
    </row>
    <row r="20" customFormat="false" ht="15" hidden="false" customHeight="false" outlineLevel="0" collapsed="false">
      <c r="A20" s="20" t="s">
        <v>341</v>
      </c>
      <c r="B20" s="8" t="s">
        <v>342</v>
      </c>
      <c r="C20" s="8" t="s">
        <v>193</v>
      </c>
      <c r="D20" s="21" t="n">
        <v>1</v>
      </c>
    </row>
    <row r="21" customFormat="false" ht="15" hidden="false" customHeight="false" outlineLevel="0" collapsed="false">
      <c r="A21" s="20" t="s">
        <v>343</v>
      </c>
      <c r="B21" s="8" t="s">
        <v>344</v>
      </c>
      <c r="C21" s="8" t="s">
        <v>180</v>
      </c>
      <c r="D21" s="21" t="n">
        <v>1</v>
      </c>
    </row>
    <row r="22" customFormat="false" ht="15" hidden="false" customHeight="false" outlineLevel="0" collapsed="false">
      <c r="A22" s="20" t="s">
        <v>345</v>
      </c>
      <c r="B22" s="8" t="s">
        <v>346</v>
      </c>
      <c r="C22" s="8" t="s">
        <v>347</v>
      </c>
      <c r="D22" s="21" t="n">
        <v>2</v>
      </c>
    </row>
    <row r="23" customFormat="false" ht="15" hidden="false" customHeight="false" outlineLevel="0" collapsed="false">
      <c r="A23" s="20" t="s">
        <v>348</v>
      </c>
      <c r="B23" s="8" t="s">
        <v>349</v>
      </c>
      <c r="C23" s="8" t="s">
        <v>152</v>
      </c>
      <c r="D23" s="21" t="n">
        <v>1</v>
      </c>
    </row>
    <row r="24" customFormat="false" ht="15" hidden="false" customHeight="false" outlineLevel="0" collapsed="false">
      <c r="A24" s="20" t="s">
        <v>350</v>
      </c>
      <c r="B24" s="8" t="s">
        <v>351</v>
      </c>
      <c r="C24" s="8" t="s">
        <v>167</v>
      </c>
      <c r="D24" s="21" t="n">
        <v>1</v>
      </c>
    </row>
    <row r="25" customFormat="false" ht="15" hidden="false" customHeight="false" outlineLevel="0" collapsed="false">
      <c r="A25" s="20" t="s">
        <v>352</v>
      </c>
      <c r="B25" s="8" t="s">
        <v>353</v>
      </c>
      <c r="C25" s="8" t="s">
        <v>193</v>
      </c>
      <c r="D25" s="21" t="n">
        <v>1</v>
      </c>
    </row>
    <row r="26" customFormat="false" ht="15" hidden="false" customHeight="false" outlineLevel="0" collapsed="false">
      <c r="A26" s="20" t="s">
        <v>354</v>
      </c>
      <c r="B26" s="8" t="s">
        <v>355</v>
      </c>
      <c r="C26" s="8" t="s">
        <v>356</v>
      </c>
      <c r="D26" s="21" t="n">
        <v>2</v>
      </c>
    </row>
    <row r="27" customFormat="false" ht="15" hidden="false" customHeight="false" outlineLevel="0" collapsed="false">
      <c r="A27" s="20" t="s">
        <v>357</v>
      </c>
      <c r="B27" s="8" t="s">
        <v>358</v>
      </c>
      <c r="C27" s="8" t="s">
        <v>359</v>
      </c>
      <c r="D27" s="21" t="n">
        <v>2</v>
      </c>
    </row>
    <row r="28" customFormat="false" ht="15" hidden="false" customHeight="false" outlineLevel="0" collapsed="false">
      <c r="A28" s="20" t="s">
        <v>360</v>
      </c>
      <c r="B28" s="8" t="s">
        <v>361</v>
      </c>
      <c r="C28" s="8" t="s">
        <v>362</v>
      </c>
      <c r="D28" s="21" t="n">
        <v>3</v>
      </c>
    </row>
    <row r="29" customFormat="false" ht="15" hidden="false" customHeight="false" outlineLevel="0" collapsed="false">
      <c r="A29" s="20" t="s">
        <v>363</v>
      </c>
      <c r="B29" s="8" t="s">
        <v>364</v>
      </c>
      <c r="C29" s="8" t="s">
        <v>118</v>
      </c>
      <c r="D29" s="21" t="n">
        <v>1</v>
      </c>
    </row>
    <row r="30" customFormat="false" ht="15" hidden="false" customHeight="false" outlineLevel="0" collapsed="false">
      <c r="A30" s="20" t="s">
        <v>365</v>
      </c>
      <c r="B30" s="8" t="s">
        <v>366</v>
      </c>
      <c r="C30" s="8" t="s">
        <v>367</v>
      </c>
      <c r="D30" s="21" t="n">
        <v>2</v>
      </c>
    </row>
    <row r="31" customFormat="false" ht="15" hidden="false" customHeight="false" outlineLevel="0" collapsed="false">
      <c r="A31" s="20" t="s">
        <v>368</v>
      </c>
      <c r="B31" s="8" t="s">
        <v>369</v>
      </c>
      <c r="C31" s="8" t="s">
        <v>152</v>
      </c>
      <c r="D31" s="21" t="n">
        <v>1</v>
      </c>
    </row>
    <row r="32" customFormat="false" ht="15" hidden="false" customHeight="false" outlineLevel="0" collapsed="false">
      <c r="A32" s="20" t="s">
        <v>370</v>
      </c>
      <c r="B32" s="8" t="s">
        <v>371</v>
      </c>
      <c r="C32" s="8" t="s">
        <v>372</v>
      </c>
      <c r="D32" s="21" t="n">
        <v>2</v>
      </c>
    </row>
    <row r="33" customFormat="false" ht="15" hidden="false" customHeight="false" outlineLevel="0" collapsed="false">
      <c r="A33" s="2" t="s">
        <v>303</v>
      </c>
      <c r="B33" s="38" t="n">
        <f aca="false">COUNTA(A5:A32)</f>
        <v>28</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2026-09-26T23:53:22Z</dcterms:created>
  <dc:creator>openpyxl</dc:creator>
  <dc:description/>
  <dc:language>en-US</dc:language>
  <cp:lastModifiedBy/>
  <dcterms:modified xsi:type="dcterms:W3CDTF">2026-09-26T23:53:22Z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