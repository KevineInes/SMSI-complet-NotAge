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Tableau de bord" sheetId="2" state="visible" r:id="rId4"/>
    <sheet name="Synthèse" sheetId="3" state="visible" r:id="rId5"/>
  </sheets>
  <definedNames>
    <definedName function="false" hidden="true" localSheetId="1" name="_xlnm._FilterDatabase" vbProcedure="false">'Tableau de bord'!$A$4:$O$20</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L10" authorId="0">
      <text>
        <r>
          <rPr>
            <sz val="10"/>
            <rFont val="Arial"/>
            <family val="2"/>
          </rPr>
          <t xml:space="preserve">Moyenne des six derniers mois, relevée dans l'outil de supervision.</t>
        </r>
      </text>
    </comment>
  </commentList>
</comments>
</file>

<file path=xl/sharedStrings.xml><?xml version="1.0" encoding="utf-8"?>
<sst xmlns="http://schemas.openxmlformats.org/spreadsheetml/2006/main" count="248" uniqueCount="170">
  <si>
    <t xml:space="preserve">Tableau de bord des indicateurs de sécurité — NotAge</t>
  </si>
  <si>
    <t xml:space="preserve">Référence</t>
  </si>
  <si>
    <t xml:space="preserve">NTG-SMSI-PIL-001 (annexe)</t>
  </si>
  <si>
    <t xml:space="preserve">Version</t>
  </si>
  <si>
    <t xml:space="preserve">1.0</t>
  </si>
  <si>
    <t xml:space="preserve">Date</t>
  </si>
  <si>
    <t xml:space="preserve">27/09/2026</t>
  </si>
  <si>
    <t xml:space="preserve">Propriétaire</t>
  </si>
  <si>
    <t xml:space="preserve">RSSI</t>
  </si>
  <si>
    <t xml:space="preserve">Classification</t>
  </si>
  <si>
    <t xml:space="preserve">Interne (publié à titre de démonstration, entreprise fictive)</t>
  </si>
  <si>
    <t xml:space="preserve">Exigences couvertes</t>
  </si>
  <si>
    <t xml:space="preserve">ISO/IEC 27001:2022, articles 6.2 et 9.1</t>
  </si>
  <si>
    <t xml:space="preserve">Mode d'emploi</t>
  </si>
  <si>
    <t xml:space="preserve">Valeur mesurée</t>
  </si>
  <si>
    <t xml:space="preserve">Seules les cellules en bleu de la colonne « Valeur mesurée » se saisissent, à chaque période de mesure. Laisser vide si l'indicateur n'est pas encore mesuré.</t>
  </si>
  <si>
    <t xml:space="preserve">Statut</t>
  </si>
  <si>
    <t xml:space="preserve">Calculé automatiquement : « Atteint » si la valeur respecte la cible selon le sens (≥ ou ≤), « Sous la cible » sinon, « Non mesuré » si la cellule est vide.</t>
  </si>
  <si>
    <t xml:space="preserve">Valeurs actuelles</t>
  </si>
  <si>
    <t xml:space="preserve">Valeurs de référence mesurées en septembre 2026, au lancement du SMSI. Un tableau de bord qui démarre majoritairement en rouge est normal : il montre l'écart que le plan de traitement doit combler.</t>
  </si>
  <si>
    <t xml:space="preserve">KPI et KRI</t>
  </si>
  <si>
    <t xml:space="preserve">KPI : indicateur de performance, qui mesure si une mesure ou un processus fonctionne. KRI : indicateur de risque, qui mesure l'évolution de l'exposition au risque.</t>
  </si>
  <si>
    <t xml:space="preserve">Synthèse</t>
  </si>
  <si>
    <t xml:space="preserve">La feuille Synthèse compte les statuts par objectif et au total ; elle se met à jour automatiquement.</t>
  </si>
  <si>
    <t xml:space="preserve">Indicateurs de sécurité — valeurs de référence au lancement du SMSI (septembre 2026)</t>
  </si>
  <si>
    <t xml:space="preserve">Saisir uniquement la colonne « Valeur mesurée » (en bleu). Le statut est calculé.</t>
  </si>
  <si>
    <t xml:space="preserve">ID</t>
  </si>
  <si>
    <t xml:space="preserve">Objectif</t>
  </si>
  <si>
    <t xml:space="preserve">Type</t>
  </si>
  <si>
    <t xml:space="preserve">Indicateur</t>
  </si>
  <si>
    <t xml:space="preserve">Formule de calcul</t>
  </si>
  <si>
    <t xml:space="preserve">Source</t>
  </si>
  <si>
    <t xml:space="preserve">Fréquence</t>
  </si>
  <si>
    <t xml:space="preserve">Responsable</t>
  </si>
  <si>
    <t xml:space="preserve">Sens</t>
  </si>
  <si>
    <t xml:space="preserve">Cible</t>
  </si>
  <si>
    <t xml:space="preserve">Échéance</t>
  </si>
  <si>
    <t xml:space="preserve">Valeur mesurée (09/2026)</t>
  </si>
  <si>
    <t xml:space="preserve">Commentaire</t>
  </si>
  <si>
    <t xml:space="preserve">Risques et règles liés</t>
  </si>
  <si>
    <t xml:space="preserve">I01</t>
  </si>
  <si>
    <t xml:space="preserve">O1</t>
  </si>
  <si>
    <t xml:space="preserve">KPI</t>
  </si>
  <si>
    <t xml:space="preserve">Avancement du plan de traitement des risques</t>
  </si>
  <si>
    <t xml:space="preserve">Actions réalisées / actions prévues</t>
  </si>
  <si>
    <t xml:space="preserve">Plan de traitement (RSK-004)</t>
  </si>
  <si>
    <t xml:space="preserve">Mensuelle</t>
  </si>
  <si>
    <t xml:space="preserve">≥</t>
  </si>
  <si>
    <t xml:space="preserve">30/06/2027</t>
  </si>
  <si>
    <t xml:space="preserve">Plan approuvé le 27/09/2026</t>
  </si>
  <si>
    <t xml:space="preserve">R01 à R11</t>
  </si>
  <si>
    <t xml:space="preserve">I02</t>
  </si>
  <si>
    <t xml:space="preserve">Mesures applicables de la DdA mises en œuvre</t>
  </si>
  <si>
    <t xml:space="preserve">Mesures « mises en œuvre » / mesures applicables</t>
  </si>
  <si>
    <t xml:space="preserve">DdA (DDA-001)</t>
  </si>
  <si>
    <t xml:space="preserve">Trimestrielle</t>
  </si>
  <si>
    <t xml:space="preserve">26 sur 90</t>
  </si>
  <si>
    <t xml:space="preserve">DdA</t>
  </si>
  <si>
    <t xml:space="preserve">I03</t>
  </si>
  <si>
    <t xml:space="preserve">O2</t>
  </si>
  <si>
    <t xml:space="preserve">KRI</t>
  </si>
  <si>
    <t xml:space="preserve">Violations de données imputables à un défaut de sécurité de NotAge</t>
  </si>
  <si>
    <t xml:space="preserve">Nombre sur 12 mois glissants</t>
  </si>
  <si>
    <t xml:space="preserve">Registre des incidents</t>
  </si>
  <si>
    <t xml:space="preserve">≤</t>
  </si>
  <si>
    <t xml:space="preserve">Permanent</t>
  </si>
  <si>
    <t xml:space="preserve">Aucune connue ; registre ouvert en septembre 2026</t>
  </si>
  <si>
    <t xml:space="preserve">R03, R04, R11</t>
  </si>
  <si>
    <t xml:space="preserve">I04</t>
  </si>
  <si>
    <t xml:space="preserve">Vulnérabilités critiques et élevées corrigées dans les délais</t>
  </si>
  <si>
    <t xml:space="preserve">Corrigées dans les délais / total à corriger</t>
  </si>
  <si>
    <t xml:space="preserve">Outil d'analyse et suivi des tickets</t>
  </si>
  <si>
    <t xml:space="preserve">CTO</t>
  </si>
  <si>
    <t xml:space="preserve">31/12/2026</t>
  </si>
  <si>
    <t xml:space="preserve">Non mesuré : pas de suivi avant la PSSI</t>
  </si>
  <si>
    <t xml:space="preserve">R03, EXP-05</t>
  </si>
  <si>
    <t xml:space="preserve">I05</t>
  </si>
  <si>
    <t xml:space="preserve">Comptes désactivés le jour du départ</t>
  </si>
  <si>
    <t xml:space="preserve">Départs avec désactivation le dernier jour / départs</t>
  </si>
  <si>
    <t xml:space="preserve">Tickets de départ et journaux du SSO</t>
  </si>
  <si>
    <t xml:space="preserve">Responsable RH</t>
  </si>
  <si>
    <t xml:space="preserve">Non mesuré : comptes orphelins constatés en juin 2026</t>
  </si>
  <si>
    <t xml:space="preserve">R07, PRC-002</t>
  </si>
  <si>
    <t xml:space="preserve">I06</t>
  </si>
  <si>
    <t xml:space="preserve">O3</t>
  </si>
  <si>
    <t xml:space="preserve">Disponibilité mensuelle de la plateforme</t>
  </si>
  <si>
    <t xml:space="preserve">Temps de disponibilité / temps total du mois</t>
  </si>
  <si>
    <t xml:space="preserve">Outil de supervision</t>
  </si>
  <si>
    <t xml:space="preserve">Moyenne des six derniers mois</t>
  </si>
  <si>
    <t xml:space="preserve">R08</t>
  </si>
  <si>
    <t xml:space="preserve">I07</t>
  </si>
  <si>
    <t xml:space="preserve">Tests de restauration réussis</t>
  </si>
  <si>
    <t xml:space="preserve">Tests réussis / tests prévus (4 par an)</t>
  </si>
  <si>
    <t xml:space="preserve">Comptes rendus de test</t>
  </si>
  <si>
    <t xml:space="preserve">Responsable infrastructure</t>
  </si>
  <si>
    <t xml:space="preserve">Restauration jamais testée</t>
  </si>
  <si>
    <t xml:space="preserve">R02, R08, EXP-06</t>
  </si>
  <si>
    <t xml:space="preserve">I08</t>
  </si>
  <si>
    <t xml:space="preserve">Durée de reprise mesurée lors du test du plan de reprise</t>
  </si>
  <si>
    <t xml:space="preserve">Heures entre le déclenchement et le retour du service</t>
  </si>
  <si>
    <t xml:space="preserve">Compte rendu d'exercice</t>
  </si>
  <si>
    <t xml:space="preserve">Annuelle</t>
  </si>
  <si>
    <t xml:space="preserve">31/03/2027</t>
  </si>
  <si>
    <t xml:space="preserve">Non mesuré : aucun plan de reprise</t>
  </si>
  <si>
    <t xml:space="preserve">R08, CON-01</t>
  </si>
  <si>
    <t xml:space="preserve">I09</t>
  </si>
  <si>
    <t xml:space="preserve">O4</t>
  </si>
  <si>
    <t xml:space="preserve">Modifications d'IBAN soumises à la double validation</t>
  </si>
  <si>
    <t xml:space="preserve">Modifications avec double validation / modifications</t>
  </si>
  <si>
    <t xml:space="preserve">Journaux applicatifs</t>
  </si>
  <si>
    <t xml:space="preserve">CFO</t>
  </si>
  <si>
    <t xml:space="preserve">Fonction inexistante</t>
  </si>
  <si>
    <t xml:space="preserve">R01, DEV-02</t>
  </si>
  <si>
    <t xml:space="preserve">I10</t>
  </si>
  <si>
    <t xml:space="preserve">Fraudes au changement d'IBAN abouties</t>
  </si>
  <si>
    <t xml:space="preserve">Registre des incidents, signalements des clients</t>
  </si>
  <si>
    <t xml:space="preserve">Non mesuré : aucune détection en place</t>
  </si>
  <si>
    <t xml:space="preserve">R01</t>
  </si>
  <si>
    <t xml:space="preserve">I11</t>
  </si>
  <si>
    <t xml:space="preserve">O5</t>
  </si>
  <si>
    <t xml:space="preserve">Salariés sensibilisés au cours des 12 derniers mois</t>
  </si>
  <si>
    <t xml:space="preserve">Salariés sensibilisés / effectif</t>
  </si>
  <si>
    <t xml:space="preserve">Plateforme de formation</t>
  </si>
  <si>
    <t xml:space="preserve">Aucune action à ce jour</t>
  </si>
  <si>
    <t xml:space="preserve">R09, RH-03, RH-04</t>
  </si>
  <si>
    <t xml:space="preserve">I12</t>
  </si>
  <si>
    <t xml:space="preserve">Taux de clic lors des campagnes d'hameçonnage simulé</t>
  </si>
  <si>
    <t xml:space="preserve">Personnes ayant cliqué / destinataires</t>
  </si>
  <si>
    <t xml:space="preserve">Plateforme de simulation</t>
  </si>
  <si>
    <t xml:space="preserve">Première campagne en novembre 2026</t>
  </si>
  <si>
    <t xml:space="preserve">R09</t>
  </si>
  <si>
    <t xml:space="preserve">I13</t>
  </si>
  <si>
    <t xml:space="preserve">Taux de signalement lors des campagnes d'hameçonnage simulé</t>
  </si>
  <si>
    <t xml:space="preserve">Personnes ayant signalé / destinataires</t>
  </si>
  <si>
    <t xml:space="preserve">R09, INC-01</t>
  </si>
  <si>
    <t xml:space="preserve">I14</t>
  </si>
  <si>
    <t xml:space="preserve">O6</t>
  </si>
  <si>
    <t xml:space="preserve">Incidents notifiés aux clients dans les délais</t>
  </si>
  <si>
    <t xml:space="preserve">Notifications dans les délais / notifications requises</t>
  </si>
  <si>
    <t xml:space="preserve">Responsable relation client</t>
  </si>
  <si>
    <t xml:space="preserve">Non mesuré : procédure approuvée en septembre 2026</t>
  </si>
  <si>
    <t xml:space="preserve">PRC-001, INC-04</t>
  </si>
  <si>
    <t xml:space="preserve">I15</t>
  </si>
  <si>
    <t xml:space="preserve">SMSI</t>
  </si>
  <si>
    <t xml:space="preserve">Revues trimestrielles des accès réalisées</t>
  </si>
  <si>
    <t xml:space="preserve">Revues réalisées / revues prévues</t>
  </si>
  <si>
    <t xml:space="preserve">Preuves des revues</t>
  </si>
  <si>
    <t xml:space="preserve">Aucune revue réalisée</t>
  </si>
  <si>
    <t xml:space="preserve">R02, R07, ACC-09</t>
  </si>
  <si>
    <t xml:space="preserve">I16</t>
  </si>
  <si>
    <t xml:space="preserve">Fournisseurs critiques évalués</t>
  </si>
  <si>
    <t xml:space="preserve">Fournisseurs critiques évalués / fournisseurs critiques</t>
  </si>
  <si>
    <t xml:space="preserve">Registre des fournisseurs</t>
  </si>
  <si>
    <t xml:space="preserve">Semestrielle</t>
  </si>
  <si>
    <t xml:space="preserve">0 sur 5</t>
  </si>
  <si>
    <t xml:space="preserve">R11, FOU-02</t>
  </si>
  <si>
    <t xml:space="preserve">Synthèse des indicateurs</t>
  </si>
  <si>
    <t xml:space="preserve">Indicateurs</t>
  </si>
  <si>
    <t xml:space="preserve">Atteint</t>
  </si>
  <si>
    <t xml:space="preserve">Sous la cible</t>
  </si>
  <si>
    <t xml:space="preserve">Non mesuré</t>
  </si>
  <si>
    <t xml:space="preserve">O1 — Obtenir la certification ISO/IEC 27001</t>
  </si>
  <si>
    <t xml:space="preserve">O2 — Protéger les données confiées</t>
  </si>
  <si>
    <t xml:space="preserve">O3 — Garantir la disponibilité du service</t>
  </si>
  <si>
    <t xml:space="preserve">O4 — Prévenir la fraude aux coordonnées bancaires</t>
  </si>
  <si>
    <t xml:space="preserve">O5 — Faire de chaque salarié un acteur de la sécurité</t>
  </si>
  <si>
    <t xml:space="preserve">O6 — Tenir les engagements envers les clients</t>
  </si>
  <si>
    <t xml:space="preserve">SMSI — Faire fonctionner les processus du SMSI</t>
  </si>
  <si>
    <t xml:space="preserve">Total</t>
  </si>
  <si>
    <t xml:space="preserve">Lecture : au lancement du SMSI, la plupart des indicateurs sont sous la cible ou pas encore mesurés. Leur progression est suivie chaque mois en comité de sécurité et présentée en revue de direction.</t>
  </si>
</sst>
</file>

<file path=xl/styles.xml><?xml version="1.0" encoding="utf-8"?>
<styleSheet xmlns="http://schemas.openxmlformats.org/spreadsheetml/2006/main">
  <numFmts count="6">
    <numFmt numFmtId="164" formatCode="General"/>
    <numFmt numFmtId="165" formatCode="0%"/>
    <numFmt numFmtId="166" formatCode="0.0%"/>
    <numFmt numFmtId="167" formatCode="0"/>
    <numFmt numFmtId="168" formatCode="0.00%"/>
    <numFmt numFmtId="169" formatCode="0&quot; h&quot;"/>
  </numFmts>
  <fonts count="16">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b val="true"/>
      <sz val="10"/>
      <name val="Arial"/>
      <family val="0"/>
      <charset val="1"/>
    </font>
    <font>
      <sz val="10"/>
      <name val="Arial"/>
      <family val="0"/>
      <charset val="1"/>
    </font>
    <font>
      <b val="true"/>
      <sz val="12"/>
      <color rgb="FF1F3A5F"/>
      <name val="Arial"/>
      <family val="0"/>
      <charset val="1"/>
    </font>
    <font>
      <b val="true"/>
      <sz val="13"/>
      <color rgb="FF1F3A5F"/>
      <name val="Arial"/>
      <family val="0"/>
      <charset val="1"/>
    </font>
    <font>
      <i val="true"/>
      <sz val="10"/>
      <color rgb="FF666666"/>
      <name val="Arial"/>
      <family val="0"/>
      <charset val="1"/>
    </font>
    <font>
      <b val="true"/>
      <sz val="10"/>
      <color rgb="FFFFFFFF"/>
      <name val="Arial"/>
      <family val="0"/>
      <charset val="1"/>
    </font>
    <font>
      <b val="true"/>
      <sz val="10"/>
      <color rgb="FF0000FF"/>
      <name val="Arial"/>
      <family val="0"/>
      <charset val="1"/>
    </font>
    <font>
      <sz val="10"/>
      <name val="Arial"/>
      <family val="2"/>
    </font>
    <font>
      <b val="true"/>
      <sz val="10"/>
      <color rgb="FF006100"/>
      <name val="Arial"/>
      <family val="0"/>
      <charset val="1"/>
    </font>
    <font>
      <b val="true"/>
      <sz val="10"/>
      <color rgb="FF9C0006"/>
      <name val="Arial"/>
      <family val="0"/>
      <charset val="1"/>
    </font>
    <font>
      <b val="true"/>
      <sz val="10"/>
      <color rgb="FF595959"/>
      <name val="Arial"/>
      <family val="0"/>
      <charset val="1"/>
    </font>
  </fonts>
  <fills count="7">
    <fill>
      <patternFill patternType="none"/>
    </fill>
    <fill>
      <patternFill patternType="gray125"/>
    </fill>
    <fill>
      <patternFill patternType="solid">
        <fgColor rgb="FF1F3A5F"/>
        <bgColor rgb="FF333399"/>
      </patternFill>
    </fill>
    <fill>
      <patternFill patternType="solid">
        <fgColor rgb="FFF5F8FB"/>
        <bgColor rgb="FFFFFFFF"/>
      </patternFill>
    </fill>
    <fill>
      <patternFill patternType="solid">
        <fgColor rgb="FFC6EFCE"/>
        <bgColor rgb="FFCCFFFF"/>
      </patternFill>
    </fill>
    <fill>
      <patternFill patternType="solid">
        <fgColor rgb="FFFFC7CE"/>
        <bgColor rgb="FFE7E6E6"/>
      </patternFill>
    </fill>
    <fill>
      <patternFill patternType="solid">
        <fgColor rgb="FFE7E6E6"/>
        <bgColor rgb="FFF5F8FB"/>
      </patternFill>
    </fill>
  </fills>
  <borders count="2">
    <border diagonalUp="false" diagonalDown="false">
      <left/>
      <right/>
      <top/>
      <bottom/>
      <diagonal/>
    </border>
    <border diagonalUp="false" diagonalDown="false">
      <left style="thin">
        <color rgb="FFC9D3DE"/>
      </left>
      <right style="thin">
        <color rgb="FFC9D3DE"/>
      </right>
      <top style="thin">
        <color rgb="FFC9D3DE"/>
      </top>
      <bottom style="thin">
        <color rgb="FFC9D3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6" fontId="11" fillId="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6" fontId="11" fillId="3" borderId="1" xfId="0" applyFont="true" applyBorder="true" applyAlignment="true" applyProtection="false">
      <alignment horizontal="center" vertical="center" textRotation="0" wrapText="true" indent="0" shrinkToFit="false"/>
      <protection locked="true" hidden="false"/>
    </xf>
    <xf numFmtId="167" fontId="6" fillId="0" borderId="1" xfId="0" applyFont="true" applyBorder="true" applyAlignment="true" applyProtection="false">
      <alignment horizontal="center" vertical="center" textRotation="0" wrapText="true" indent="0" shrinkToFit="false"/>
      <protection locked="true" hidden="false"/>
    </xf>
    <xf numFmtId="167" fontId="11" fillId="0" borderId="1" xfId="0" applyFont="true" applyBorder="true" applyAlignment="true" applyProtection="false">
      <alignment horizontal="center" vertical="center" textRotation="0" wrapText="true" indent="0" shrinkToFit="false"/>
      <protection locked="true" hidden="false"/>
    </xf>
    <xf numFmtId="166" fontId="6" fillId="3" borderId="1" xfId="0" applyFont="true" applyBorder="true" applyAlignment="true" applyProtection="false">
      <alignment horizontal="center" vertical="center" textRotation="0" wrapText="true" indent="0" shrinkToFit="false"/>
      <protection locked="true" hidden="false"/>
    </xf>
    <xf numFmtId="168" fontId="11" fillId="3" borderId="1" xfId="0" applyFont="true" applyBorder="true" applyAlignment="true" applyProtection="false">
      <alignment horizontal="center" vertical="center" textRotation="0" wrapText="true" indent="0" shrinkToFit="false"/>
      <protection locked="true" hidden="false"/>
    </xf>
    <xf numFmtId="169" fontId="6" fillId="3" borderId="1" xfId="0" applyFont="true" applyBorder="true" applyAlignment="true" applyProtection="false">
      <alignment horizontal="center" vertical="center" textRotation="0" wrapText="true" indent="0" shrinkToFit="false"/>
      <protection locked="true" hidden="false"/>
    </xf>
    <xf numFmtId="169" fontId="11" fillId="3" borderId="1" xfId="0" applyFont="true" applyBorder="true" applyAlignment="true" applyProtection="false">
      <alignment horizontal="center" vertical="center" textRotation="0" wrapText="true" indent="0" shrinkToFit="false"/>
      <protection locked="true" hidden="false"/>
    </xf>
    <xf numFmtId="167" fontId="6" fillId="3" borderId="1" xfId="0" applyFont="true" applyBorder="true" applyAlignment="true" applyProtection="false">
      <alignment horizontal="center" vertical="center" textRotation="0" wrapText="true" indent="0" shrinkToFit="false"/>
      <protection locked="true" hidden="false"/>
    </xf>
    <xf numFmtId="167" fontId="11" fillId="3"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A5F"/>
          <bgColor rgb="FF000000"/>
        </patternFill>
      </fill>
    </dxf>
    <dxf>
      <fill>
        <patternFill patternType="solid">
          <fgColor rgb="FFF5F8FB"/>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E7E6E6"/>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595959"/>
          <bgColor rgb="FF000000"/>
        </patternFill>
      </fill>
    </dxf>
    <dxf>
      <fill>
        <patternFill patternType="solid">
          <fgColor rgb="FF9C0006"/>
          <bgColor rgb="FF000000"/>
        </patternFill>
      </fill>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
      <font>
        <name val="Arial"/>
        <charset val="1"/>
        <family val="0"/>
        <b val="1"/>
        <color rgb="FF595959"/>
      </font>
      <fill>
        <patternFill>
          <bgColor rgb="FFE7E6E6"/>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5F8FB"/>
      <rgbColor rgb="FFE7E6E6"/>
      <rgbColor rgb="FF660066"/>
      <rgbColor rgb="FFFF8080"/>
      <rgbColor rgb="FF0066CC"/>
      <rgbColor rgb="FFC9D3D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66"/>
      <rgbColor rgb="FF969696"/>
      <rgbColor rgb="FF1F3A5F"/>
      <rgbColor rgb="FF339966"/>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5"/>
  </cols>
  <sheetData>
    <row r="1" customFormat="false" ht="19.7"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2" t="s">
        <v>9</v>
      </c>
      <c r="B7" s="3" t="s">
        <v>10</v>
      </c>
    </row>
    <row r="8" customFormat="false" ht="15" hidden="false" customHeight="false" outlineLevel="0" collapsed="false">
      <c r="A8" s="2" t="s">
        <v>11</v>
      </c>
      <c r="B8" s="3" t="s">
        <v>12</v>
      </c>
    </row>
    <row r="10" customFormat="false" ht="15" hidden="false" customHeight="false" outlineLevel="0" collapsed="false">
      <c r="A10" s="4" t="s">
        <v>13</v>
      </c>
    </row>
    <row r="11" customFormat="false" ht="31.5" hidden="false" customHeight="true" outlineLevel="0" collapsed="false">
      <c r="A11" s="2" t="s">
        <v>14</v>
      </c>
      <c r="B11" s="5" t="s">
        <v>15</v>
      </c>
    </row>
    <row r="12" customFormat="false" ht="31.5" hidden="false" customHeight="true" outlineLevel="0" collapsed="false">
      <c r="A12" s="2" t="s">
        <v>16</v>
      </c>
      <c r="B12" s="5" t="s">
        <v>17</v>
      </c>
    </row>
    <row r="13" customFormat="false" ht="31.5" hidden="false" customHeight="true" outlineLevel="0" collapsed="false">
      <c r="A13" s="2" t="s">
        <v>18</v>
      </c>
      <c r="B13" s="5" t="s">
        <v>19</v>
      </c>
    </row>
    <row r="14" customFormat="false" ht="31.5" hidden="false" customHeight="true" outlineLevel="0" collapsed="false">
      <c r="A14" s="2" t="s">
        <v>20</v>
      </c>
      <c r="B14" s="5" t="s">
        <v>21</v>
      </c>
    </row>
    <row r="15" customFormat="false" ht="31.5" hidden="false" customHeight="true" outlineLevel="0" collapsed="false">
      <c r="A15" s="2" t="s">
        <v>22</v>
      </c>
      <c r="B15" s="5" t="s">
        <v>23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7"/>
    <col collapsed="false" customWidth="true" hidden="false" outlineLevel="0" max="4" min="4" style="0" width="38"/>
    <col collapsed="false" customWidth="true" hidden="false" outlineLevel="0" max="5" min="5" style="0" width="34"/>
    <col collapsed="false" customWidth="true" hidden="false" outlineLevel="0" max="6" min="6" style="0" width="26"/>
    <col collapsed="false" customWidth="true" hidden="false" outlineLevel="0" max="7" min="7" style="0" width="13"/>
    <col collapsed="false" customWidth="true" hidden="false" outlineLevel="0" max="8" min="8" style="0" width="18"/>
    <col collapsed="false" customWidth="true" hidden="false" outlineLevel="0" max="9" min="9" style="0" width="6"/>
    <col collapsed="false" customWidth="true" hidden="false" outlineLevel="0" max="10" min="10" style="0" width="9"/>
    <col collapsed="false" customWidth="true" hidden="false" outlineLevel="0" max="11" min="11" style="0" width="12"/>
    <col collapsed="false" customWidth="true" hidden="false" outlineLevel="0" max="13" min="12" style="0" width="13"/>
    <col collapsed="false" customWidth="true" hidden="false" outlineLevel="0" max="14" min="14" style="0" width="34"/>
    <col collapsed="false" customWidth="true" hidden="false" outlineLevel="0" max="15" min="15" style="0" width="18"/>
  </cols>
  <sheetData>
    <row r="1" customFormat="false" ht="16.15" hidden="false" customHeight="false" outlineLevel="0" collapsed="false">
      <c r="A1" s="6" t="s">
        <v>24</v>
      </c>
    </row>
    <row r="2" customFormat="false" ht="15" hidden="false" customHeight="false" outlineLevel="0" collapsed="false">
      <c r="A2" s="7" t="s">
        <v>25</v>
      </c>
    </row>
    <row r="4" customFormat="false" ht="31.5" hidden="false" customHeight="true" outlineLevel="0" collapsed="false">
      <c r="A4" s="8" t="s">
        <v>26</v>
      </c>
      <c r="B4" s="8" t="s">
        <v>27</v>
      </c>
      <c r="C4" s="8" t="s">
        <v>28</v>
      </c>
      <c r="D4" s="8" t="s">
        <v>29</v>
      </c>
      <c r="E4" s="8" t="s">
        <v>30</v>
      </c>
      <c r="F4" s="8" t="s">
        <v>31</v>
      </c>
      <c r="G4" s="8" t="s">
        <v>32</v>
      </c>
      <c r="H4" s="8" t="s">
        <v>33</v>
      </c>
      <c r="I4" s="8" t="s">
        <v>34</v>
      </c>
      <c r="J4" s="8" t="s">
        <v>35</v>
      </c>
      <c r="K4" s="8" t="s">
        <v>36</v>
      </c>
      <c r="L4" s="8" t="s">
        <v>37</v>
      </c>
      <c r="M4" s="8" t="s">
        <v>16</v>
      </c>
      <c r="N4" s="8" t="s">
        <v>38</v>
      </c>
      <c r="O4" s="8" t="s">
        <v>39</v>
      </c>
    </row>
    <row r="5" customFormat="false" ht="43.5" hidden="false" customHeight="true" outlineLevel="0" collapsed="false">
      <c r="A5" s="9" t="s">
        <v>40</v>
      </c>
      <c r="B5" s="10" t="s">
        <v>41</v>
      </c>
      <c r="C5" s="10" t="s">
        <v>42</v>
      </c>
      <c r="D5" s="11" t="s">
        <v>43</v>
      </c>
      <c r="E5" s="11" t="s">
        <v>44</v>
      </c>
      <c r="F5" s="11" t="s">
        <v>45</v>
      </c>
      <c r="G5" s="10" t="s">
        <v>46</v>
      </c>
      <c r="H5" s="11" t="s">
        <v>8</v>
      </c>
      <c r="I5" s="10" t="s">
        <v>47</v>
      </c>
      <c r="J5" s="12" t="n">
        <v>1</v>
      </c>
      <c r="K5" s="10" t="s">
        <v>48</v>
      </c>
      <c r="L5" s="13" t="n">
        <v>0</v>
      </c>
      <c r="M5" s="10" t="str">
        <f aca="false">IF(L5="","Non mesuré",IF(I5="≥",IF(L5&gt;=J5,"Atteint","Sous la cible"),IF(L5&lt;=J5,"Atteint","Sous la cible")))</f>
        <v>Sous la cible</v>
      </c>
      <c r="N5" s="11" t="s">
        <v>49</v>
      </c>
      <c r="O5" s="11" t="s">
        <v>50</v>
      </c>
    </row>
    <row r="6" customFormat="false" ht="43.5" hidden="false" customHeight="true" outlineLevel="0" collapsed="false">
      <c r="A6" s="14" t="s">
        <v>51</v>
      </c>
      <c r="B6" s="15" t="s">
        <v>41</v>
      </c>
      <c r="C6" s="15" t="s">
        <v>42</v>
      </c>
      <c r="D6" s="16" t="s">
        <v>52</v>
      </c>
      <c r="E6" s="16" t="s">
        <v>53</v>
      </c>
      <c r="F6" s="16" t="s">
        <v>54</v>
      </c>
      <c r="G6" s="15" t="s">
        <v>55</v>
      </c>
      <c r="H6" s="16" t="s">
        <v>8</v>
      </c>
      <c r="I6" s="15" t="s">
        <v>47</v>
      </c>
      <c r="J6" s="17" t="n">
        <v>0.9</v>
      </c>
      <c r="K6" s="15" t="s">
        <v>48</v>
      </c>
      <c r="L6" s="18" t="n">
        <v>0.288888888888889</v>
      </c>
      <c r="M6" s="15" t="str">
        <f aca="false">IF(L6="","Non mesuré",IF(I6="≥",IF(L6&gt;=J6,"Atteint","Sous la cible"),IF(L6&lt;=J6,"Atteint","Sous la cible")))</f>
        <v>Sous la cible</v>
      </c>
      <c r="N6" s="16" t="s">
        <v>56</v>
      </c>
      <c r="O6" s="16" t="s">
        <v>57</v>
      </c>
    </row>
    <row r="7" customFormat="false" ht="43.5" hidden="false" customHeight="true" outlineLevel="0" collapsed="false">
      <c r="A7" s="9" t="s">
        <v>58</v>
      </c>
      <c r="B7" s="10" t="s">
        <v>59</v>
      </c>
      <c r="C7" s="10" t="s">
        <v>60</v>
      </c>
      <c r="D7" s="11" t="s">
        <v>61</v>
      </c>
      <c r="E7" s="11" t="s">
        <v>62</v>
      </c>
      <c r="F7" s="11" t="s">
        <v>63</v>
      </c>
      <c r="G7" s="10" t="s">
        <v>46</v>
      </c>
      <c r="H7" s="11" t="s">
        <v>8</v>
      </c>
      <c r="I7" s="10" t="s">
        <v>64</v>
      </c>
      <c r="J7" s="19" t="n">
        <v>0</v>
      </c>
      <c r="K7" s="10" t="s">
        <v>65</v>
      </c>
      <c r="L7" s="20" t="n">
        <v>0</v>
      </c>
      <c r="M7" s="10" t="str">
        <f aca="false">IF(L7="","Non mesuré",IF(I7="≥",IF(L7&gt;=J7,"Atteint","Sous la cible"),IF(L7&lt;=J7,"Atteint","Sous la cible")))</f>
        <v>Atteint</v>
      </c>
      <c r="N7" s="11" t="s">
        <v>66</v>
      </c>
      <c r="O7" s="11" t="s">
        <v>67</v>
      </c>
    </row>
    <row r="8" customFormat="false" ht="43.5" hidden="false" customHeight="true" outlineLevel="0" collapsed="false">
      <c r="A8" s="14" t="s">
        <v>68</v>
      </c>
      <c r="B8" s="15" t="s">
        <v>59</v>
      </c>
      <c r="C8" s="15" t="s">
        <v>42</v>
      </c>
      <c r="D8" s="16" t="s">
        <v>69</v>
      </c>
      <c r="E8" s="16" t="s">
        <v>70</v>
      </c>
      <c r="F8" s="16" t="s">
        <v>71</v>
      </c>
      <c r="G8" s="15" t="s">
        <v>46</v>
      </c>
      <c r="H8" s="16" t="s">
        <v>72</v>
      </c>
      <c r="I8" s="15" t="s">
        <v>47</v>
      </c>
      <c r="J8" s="17" t="n">
        <v>1</v>
      </c>
      <c r="K8" s="15" t="s">
        <v>73</v>
      </c>
      <c r="L8" s="18"/>
      <c r="M8" s="15" t="str">
        <f aca="false">IF(L8="","Non mesuré",IF(I8="≥",IF(L8&gt;=J8,"Atteint","Sous la cible"),IF(L8&lt;=J8,"Atteint","Sous la cible")))</f>
        <v>Non mesuré</v>
      </c>
      <c r="N8" s="16" t="s">
        <v>74</v>
      </c>
      <c r="O8" s="16" t="s">
        <v>75</v>
      </c>
    </row>
    <row r="9" customFormat="false" ht="43.5" hidden="false" customHeight="true" outlineLevel="0" collapsed="false">
      <c r="A9" s="9" t="s">
        <v>76</v>
      </c>
      <c r="B9" s="10" t="s">
        <v>59</v>
      </c>
      <c r="C9" s="10" t="s">
        <v>42</v>
      </c>
      <c r="D9" s="11" t="s">
        <v>77</v>
      </c>
      <c r="E9" s="11" t="s">
        <v>78</v>
      </c>
      <c r="F9" s="11" t="s">
        <v>79</v>
      </c>
      <c r="G9" s="10" t="s">
        <v>55</v>
      </c>
      <c r="H9" s="11" t="s">
        <v>80</v>
      </c>
      <c r="I9" s="10" t="s">
        <v>47</v>
      </c>
      <c r="J9" s="12" t="n">
        <v>1</v>
      </c>
      <c r="K9" s="10" t="s">
        <v>73</v>
      </c>
      <c r="L9" s="13"/>
      <c r="M9" s="10" t="str">
        <f aca="false">IF(L9="","Non mesuré",IF(I9="≥",IF(L9&gt;=J9,"Atteint","Sous la cible"),IF(L9&lt;=J9,"Atteint","Sous la cible")))</f>
        <v>Non mesuré</v>
      </c>
      <c r="N9" s="11" t="s">
        <v>81</v>
      </c>
      <c r="O9" s="11" t="s">
        <v>82</v>
      </c>
    </row>
    <row r="10" customFormat="false" ht="43.5" hidden="false" customHeight="true" outlineLevel="0" collapsed="false">
      <c r="A10" s="14" t="s">
        <v>83</v>
      </c>
      <c r="B10" s="15" t="s">
        <v>84</v>
      </c>
      <c r="C10" s="15" t="s">
        <v>60</v>
      </c>
      <c r="D10" s="16" t="s">
        <v>85</v>
      </c>
      <c r="E10" s="16" t="s">
        <v>86</v>
      </c>
      <c r="F10" s="16" t="s">
        <v>87</v>
      </c>
      <c r="G10" s="15" t="s">
        <v>46</v>
      </c>
      <c r="H10" s="16" t="s">
        <v>72</v>
      </c>
      <c r="I10" s="15" t="s">
        <v>47</v>
      </c>
      <c r="J10" s="21" t="n">
        <v>0.999</v>
      </c>
      <c r="K10" s="15" t="s">
        <v>65</v>
      </c>
      <c r="L10" s="22" t="n">
        <v>0.9982</v>
      </c>
      <c r="M10" s="15" t="str">
        <f aca="false">IF(L10="","Non mesuré",IF(I10="≥",IF(L10&gt;=J10,"Atteint","Sous la cible"),IF(L10&lt;=J10,"Atteint","Sous la cible")))</f>
        <v>Sous la cible</v>
      </c>
      <c r="N10" s="16" t="s">
        <v>88</v>
      </c>
      <c r="O10" s="16" t="s">
        <v>89</v>
      </c>
    </row>
    <row r="11" customFormat="false" ht="43.5" hidden="false" customHeight="true" outlineLevel="0" collapsed="false">
      <c r="A11" s="9" t="s">
        <v>90</v>
      </c>
      <c r="B11" s="10" t="s">
        <v>84</v>
      </c>
      <c r="C11" s="10" t="s">
        <v>42</v>
      </c>
      <c r="D11" s="11" t="s">
        <v>91</v>
      </c>
      <c r="E11" s="11" t="s">
        <v>92</v>
      </c>
      <c r="F11" s="11" t="s">
        <v>93</v>
      </c>
      <c r="G11" s="10" t="s">
        <v>55</v>
      </c>
      <c r="H11" s="11" t="s">
        <v>94</v>
      </c>
      <c r="I11" s="10" t="s">
        <v>47</v>
      </c>
      <c r="J11" s="12" t="n">
        <v>1</v>
      </c>
      <c r="K11" s="10" t="s">
        <v>73</v>
      </c>
      <c r="L11" s="13" t="n">
        <v>0</v>
      </c>
      <c r="M11" s="10" t="str">
        <f aca="false">IF(L11="","Non mesuré",IF(I11="≥",IF(L11&gt;=J11,"Atteint","Sous la cible"),IF(L11&lt;=J11,"Atteint","Sous la cible")))</f>
        <v>Sous la cible</v>
      </c>
      <c r="N11" s="11" t="s">
        <v>95</v>
      </c>
      <c r="O11" s="11" t="s">
        <v>96</v>
      </c>
    </row>
    <row r="12" customFormat="false" ht="43.5" hidden="false" customHeight="true" outlineLevel="0" collapsed="false">
      <c r="A12" s="14" t="s">
        <v>97</v>
      </c>
      <c r="B12" s="15" t="s">
        <v>84</v>
      </c>
      <c r="C12" s="15" t="s">
        <v>42</v>
      </c>
      <c r="D12" s="16" t="s">
        <v>98</v>
      </c>
      <c r="E12" s="16" t="s">
        <v>99</v>
      </c>
      <c r="F12" s="16" t="s">
        <v>100</v>
      </c>
      <c r="G12" s="15" t="s">
        <v>101</v>
      </c>
      <c r="H12" s="16" t="s">
        <v>72</v>
      </c>
      <c r="I12" s="15" t="s">
        <v>64</v>
      </c>
      <c r="J12" s="23" t="n">
        <v>4</v>
      </c>
      <c r="K12" s="15" t="s">
        <v>102</v>
      </c>
      <c r="L12" s="24"/>
      <c r="M12" s="15" t="str">
        <f aca="false">IF(L12="","Non mesuré",IF(I12="≥",IF(L12&gt;=J12,"Atteint","Sous la cible"),IF(L12&lt;=J12,"Atteint","Sous la cible")))</f>
        <v>Non mesuré</v>
      </c>
      <c r="N12" s="16" t="s">
        <v>103</v>
      </c>
      <c r="O12" s="16" t="s">
        <v>104</v>
      </c>
    </row>
    <row r="13" customFormat="false" ht="43.5" hidden="false" customHeight="true" outlineLevel="0" collapsed="false">
      <c r="A13" s="9" t="s">
        <v>105</v>
      </c>
      <c r="B13" s="10" t="s">
        <v>106</v>
      </c>
      <c r="C13" s="10" t="s">
        <v>42</v>
      </c>
      <c r="D13" s="11" t="s">
        <v>107</v>
      </c>
      <c r="E13" s="11" t="s">
        <v>108</v>
      </c>
      <c r="F13" s="11" t="s">
        <v>109</v>
      </c>
      <c r="G13" s="10" t="s">
        <v>46</v>
      </c>
      <c r="H13" s="11" t="s">
        <v>110</v>
      </c>
      <c r="I13" s="10" t="s">
        <v>47</v>
      </c>
      <c r="J13" s="12" t="n">
        <v>1</v>
      </c>
      <c r="K13" s="10" t="s">
        <v>73</v>
      </c>
      <c r="L13" s="13" t="n">
        <v>0</v>
      </c>
      <c r="M13" s="10" t="str">
        <f aca="false">IF(L13="","Non mesuré",IF(I13="≥",IF(L13&gt;=J13,"Atteint","Sous la cible"),IF(L13&lt;=J13,"Atteint","Sous la cible")))</f>
        <v>Sous la cible</v>
      </c>
      <c r="N13" s="11" t="s">
        <v>111</v>
      </c>
      <c r="O13" s="11" t="s">
        <v>112</v>
      </c>
    </row>
    <row r="14" customFormat="false" ht="43.5" hidden="false" customHeight="true" outlineLevel="0" collapsed="false">
      <c r="A14" s="14" t="s">
        <v>113</v>
      </c>
      <c r="B14" s="15" t="s">
        <v>106</v>
      </c>
      <c r="C14" s="15" t="s">
        <v>60</v>
      </c>
      <c r="D14" s="16" t="s">
        <v>114</v>
      </c>
      <c r="E14" s="16" t="s">
        <v>62</v>
      </c>
      <c r="F14" s="16" t="s">
        <v>115</v>
      </c>
      <c r="G14" s="15" t="s">
        <v>46</v>
      </c>
      <c r="H14" s="16" t="s">
        <v>110</v>
      </c>
      <c r="I14" s="15" t="s">
        <v>64</v>
      </c>
      <c r="J14" s="25" t="n">
        <v>0</v>
      </c>
      <c r="K14" s="15" t="s">
        <v>65</v>
      </c>
      <c r="L14" s="26"/>
      <c r="M14" s="15" t="str">
        <f aca="false">IF(L14="","Non mesuré",IF(I14="≥",IF(L14&gt;=J14,"Atteint","Sous la cible"),IF(L14&lt;=J14,"Atteint","Sous la cible")))</f>
        <v>Non mesuré</v>
      </c>
      <c r="N14" s="16" t="s">
        <v>116</v>
      </c>
      <c r="O14" s="16" t="s">
        <v>117</v>
      </c>
    </row>
    <row r="15" customFormat="false" ht="43.5" hidden="false" customHeight="true" outlineLevel="0" collapsed="false">
      <c r="A15" s="9" t="s">
        <v>118</v>
      </c>
      <c r="B15" s="10" t="s">
        <v>119</v>
      </c>
      <c r="C15" s="10" t="s">
        <v>42</v>
      </c>
      <c r="D15" s="11" t="s">
        <v>120</v>
      </c>
      <c r="E15" s="11" t="s">
        <v>121</v>
      </c>
      <c r="F15" s="11" t="s">
        <v>122</v>
      </c>
      <c r="G15" s="10" t="s">
        <v>55</v>
      </c>
      <c r="H15" s="11" t="s">
        <v>8</v>
      </c>
      <c r="I15" s="10" t="s">
        <v>47</v>
      </c>
      <c r="J15" s="12" t="n">
        <v>1</v>
      </c>
      <c r="K15" s="10" t="s">
        <v>73</v>
      </c>
      <c r="L15" s="13" t="n">
        <v>0</v>
      </c>
      <c r="M15" s="10" t="str">
        <f aca="false">IF(L15="","Non mesuré",IF(I15="≥",IF(L15&gt;=J15,"Atteint","Sous la cible"),IF(L15&lt;=J15,"Atteint","Sous la cible")))</f>
        <v>Sous la cible</v>
      </c>
      <c r="N15" s="11" t="s">
        <v>123</v>
      </c>
      <c r="O15" s="11" t="s">
        <v>124</v>
      </c>
    </row>
    <row r="16" customFormat="false" ht="43.5" hidden="false" customHeight="true" outlineLevel="0" collapsed="false">
      <c r="A16" s="14" t="s">
        <v>125</v>
      </c>
      <c r="B16" s="15" t="s">
        <v>119</v>
      </c>
      <c r="C16" s="15" t="s">
        <v>60</v>
      </c>
      <c r="D16" s="16" t="s">
        <v>126</v>
      </c>
      <c r="E16" s="16" t="s">
        <v>127</v>
      </c>
      <c r="F16" s="16" t="s">
        <v>128</v>
      </c>
      <c r="G16" s="15" t="s">
        <v>55</v>
      </c>
      <c r="H16" s="16" t="s">
        <v>8</v>
      </c>
      <c r="I16" s="15" t="s">
        <v>64</v>
      </c>
      <c r="J16" s="21" t="n">
        <v>0.05</v>
      </c>
      <c r="K16" s="15" t="s">
        <v>48</v>
      </c>
      <c r="L16" s="18"/>
      <c r="M16" s="15" t="str">
        <f aca="false">IF(L16="","Non mesuré",IF(I16="≥",IF(L16&gt;=J16,"Atteint","Sous la cible"),IF(L16&lt;=J16,"Atteint","Sous la cible")))</f>
        <v>Non mesuré</v>
      </c>
      <c r="N16" s="16" t="s">
        <v>129</v>
      </c>
      <c r="O16" s="16" t="s">
        <v>130</v>
      </c>
    </row>
    <row r="17" customFormat="false" ht="43.5" hidden="false" customHeight="true" outlineLevel="0" collapsed="false">
      <c r="A17" s="9" t="s">
        <v>131</v>
      </c>
      <c r="B17" s="10" t="s">
        <v>119</v>
      </c>
      <c r="C17" s="10" t="s">
        <v>42</v>
      </c>
      <c r="D17" s="11" t="s">
        <v>132</v>
      </c>
      <c r="E17" s="11" t="s">
        <v>133</v>
      </c>
      <c r="F17" s="11" t="s">
        <v>128</v>
      </c>
      <c r="G17" s="10" t="s">
        <v>55</v>
      </c>
      <c r="H17" s="11" t="s">
        <v>8</v>
      </c>
      <c r="I17" s="10" t="s">
        <v>47</v>
      </c>
      <c r="J17" s="12" t="n">
        <v>0.6</v>
      </c>
      <c r="K17" s="10" t="s">
        <v>48</v>
      </c>
      <c r="L17" s="13"/>
      <c r="M17" s="10" t="str">
        <f aca="false">IF(L17="","Non mesuré",IF(I17="≥",IF(L17&gt;=J17,"Atteint","Sous la cible"),IF(L17&lt;=J17,"Atteint","Sous la cible")))</f>
        <v>Non mesuré</v>
      </c>
      <c r="N17" s="11" t="s">
        <v>129</v>
      </c>
      <c r="O17" s="11" t="s">
        <v>134</v>
      </c>
    </row>
    <row r="18" customFormat="false" ht="43.5" hidden="false" customHeight="true" outlineLevel="0" collapsed="false">
      <c r="A18" s="14" t="s">
        <v>135</v>
      </c>
      <c r="B18" s="15" t="s">
        <v>136</v>
      </c>
      <c r="C18" s="15" t="s">
        <v>42</v>
      </c>
      <c r="D18" s="16" t="s">
        <v>137</v>
      </c>
      <c r="E18" s="16" t="s">
        <v>138</v>
      </c>
      <c r="F18" s="16" t="s">
        <v>63</v>
      </c>
      <c r="G18" s="15" t="s">
        <v>46</v>
      </c>
      <c r="H18" s="16" t="s">
        <v>139</v>
      </c>
      <c r="I18" s="15" t="s">
        <v>47</v>
      </c>
      <c r="J18" s="17" t="n">
        <v>1</v>
      </c>
      <c r="K18" s="15" t="s">
        <v>65</v>
      </c>
      <c r="L18" s="18"/>
      <c r="M18" s="15" t="str">
        <f aca="false">IF(L18="","Non mesuré",IF(I18="≥",IF(L18&gt;=J18,"Atteint","Sous la cible"),IF(L18&lt;=J18,"Atteint","Sous la cible")))</f>
        <v>Non mesuré</v>
      </c>
      <c r="N18" s="16" t="s">
        <v>140</v>
      </c>
      <c r="O18" s="16" t="s">
        <v>141</v>
      </c>
    </row>
    <row r="19" customFormat="false" ht="43.5" hidden="false" customHeight="true" outlineLevel="0" collapsed="false">
      <c r="A19" s="9" t="s">
        <v>142</v>
      </c>
      <c r="B19" s="10" t="s">
        <v>143</v>
      </c>
      <c r="C19" s="10" t="s">
        <v>42</v>
      </c>
      <c r="D19" s="11" t="s">
        <v>144</v>
      </c>
      <c r="E19" s="11" t="s">
        <v>145</v>
      </c>
      <c r="F19" s="11" t="s">
        <v>146</v>
      </c>
      <c r="G19" s="10" t="s">
        <v>55</v>
      </c>
      <c r="H19" s="11" t="s">
        <v>8</v>
      </c>
      <c r="I19" s="10" t="s">
        <v>47</v>
      </c>
      <c r="J19" s="12" t="n">
        <v>1</v>
      </c>
      <c r="K19" s="10" t="s">
        <v>73</v>
      </c>
      <c r="L19" s="13" t="n">
        <v>0</v>
      </c>
      <c r="M19" s="10" t="str">
        <f aca="false">IF(L19="","Non mesuré",IF(I19="≥",IF(L19&gt;=J19,"Atteint","Sous la cible"),IF(L19&lt;=J19,"Atteint","Sous la cible")))</f>
        <v>Sous la cible</v>
      </c>
      <c r="N19" s="11" t="s">
        <v>147</v>
      </c>
      <c r="O19" s="11" t="s">
        <v>148</v>
      </c>
    </row>
    <row r="20" customFormat="false" ht="43.5" hidden="false" customHeight="true" outlineLevel="0" collapsed="false">
      <c r="A20" s="14" t="s">
        <v>149</v>
      </c>
      <c r="B20" s="15" t="s">
        <v>143</v>
      </c>
      <c r="C20" s="15" t="s">
        <v>42</v>
      </c>
      <c r="D20" s="16" t="s">
        <v>150</v>
      </c>
      <c r="E20" s="16" t="s">
        <v>151</v>
      </c>
      <c r="F20" s="16" t="s">
        <v>152</v>
      </c>
      <c r="G20" s="15" t="s">
        <v>153</v>
      </c>
      <c r="H20" s="16" t="s">
        <v>110</v>
      </c>
      <c r="I20" s="15" t="s">
        <v>47</v>
      </c>
      <c r="J20" s="17" t="n">
        <v>1</v>
      </c>
      <c r="K20" s="15" t="s">
        <v>48</v>
      </c>
      <c r="L20" s="18" t="n">
        <v>0</v>
      </c>
      <c r="M20" s="15" t="str">
        <f aca="false">IF(L20="","Non mesuré",IF(I20="≥",IF(L20&gt;=J20,"Atteint","Sous la cible"),IF(L20&lt;=J20,"Atteint","Sous la cible")))</f>
        <v>Sous la cible</v>
      </c>
      <c r="N20" s="16" t="s">
        <v>154</v>
      </c>
      <c r="O20" s="16" t="s">
        <v>155</v>
      </c>
    </row>
  </sheetData>
  <autoFilter ref="A4:O20"/>
  <conditionalFormatting sqref="M5:M20">
    <cfRule type="cellIs" priority="2" operator="equal" aboveAverage="0" equalAverage="0" bottom="0" percent="0" rank="0" text="" dxfId="11">
      <formula>"Atteint"</formula>
    </cfRule>
    <cfRule type="cellIs" priority="3" operator="equal" aboveAverage="0" equalAverage="0" bottom="0" percent="0" rank="0" text="" dxfId="12">
      <formula>"Sous la cible"</formula>
    </cfRule>
    <cfRule type="cellIs" priority="4" operator="equal" aboveAverage="0" equalAverage="0" bottom="0" percent="0" rank="0" text="" dxfId="13">
      <formula>"Non mesuré"</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6" min="2" style="0" width="14"/>
  </cols>
  <sheetData>
    <row r="1" customFormat="false" ht="16.15" hidden="false" customHeight="false" outlineLevel="0" collapsed="false">
      <c r="A1" s="6" t="s">
        <v>156</v>
      </c>
    </row>
    <row r="3" customFormat="false" ht="15" hidden="false" customHeight="false" outlineLevel="0" collapsed="false">
      <c r="A3" s="8" t="s">
        <v>27</v>
      </c>
      <c r="B3" s="8" t="s">
        <v>157</v>
      </c>
      <c r="C3" s="27" t="s">
        <v>158</v>
      </c>
      <c r="D3" s="28" t="s">
        <v>159</v>
      </c>
      <c r="E3" s="29" t="s">
        <v>160</v>
      </c>
    </row>
    <row r="4" customFormat="false" ht="15" hidden="false" customHeight="false" outlineLevel="0" collapsed="false">
      <c r="A4" s="30" t="s">
        <v>161</v>
      </c>
      <c r="B4" s="10" t="n">
        <f aca="false">COUNTIF('Tableau de bord'!$B$5:$B$20,"O1")</f>
        <v>2</v>
      </c>
      <c r="C4" s="10" t="n">
        <f aca="false">COUNTIFS('Tableau de bord'!$B$5:$B$20,"O1",'Tableau de bord'!$M$5:$M$20,"Atteint")</f>
        <v>0</v>
      </c>
      <c r="D4" s="10" t="n">
        <f aca="false">COUNTIFS('Tableau de bord'!$B$5:$B$20,"O1",'Tableau de bord'!$M$5:$M$20,"Sous la cible")</f>
        <v>2</v>
      </c>
      <c r="E4" s="10" t="n">
        <f aca="false">COUNTIFS('Tableau de bord'!$B$5:$B$20,"O1",'Tableau de bord'!$M$5:$M$20,"Non mesuré")</f>
        <v>0</v>
      </c>
    </row>
    <row r="5" customFormat="false" ht="15" hidden="false" customHeight="false" outlineLevel="0" collapsed="false">
      <c r="A5" s="30" t="s">
        <v>162</v>
      </c>
      <c r="B5" s="10" t="n">
        <f aca="false">COUNTIF('Tableau de bord'!$B$5:$B$20,"O2")</f>
        <v>3</v>
      </c>
      <c r="C5" s="10" t="n">
        <f aca="false">COUNTIFS('Tableau de bord'!$B$5:$B$20,"O2",'Tableau de bord'!$M$5:$M$20,"Atteint")</f>
        <v>1</v>
      </c>
      <c r="D5" s="10" t="n">
        <f aca="false">COUNTIFS('Tableau de bord'!$B$5:$B$20,"O2",'Tableau de bord'!$M$5:$M$20,"Sous la cible")</f>
        <v>0</v>
      </c>
      <c r="E5" s="10" t="n">
        <f aca="false">COUNTIFS('Tableau de bord'!$B$5:$B$20,"O2",'Tableau de bord'!$M$5:$M$20,"Non mesuré")</f>
        <v>2</v>
      </c>
    </row>
    <row r="6" customFormat="false" ht="15" hidden="false" customHeight="false" outlineLevel="0" collapsed="false">
      <c r="A6" s="30" t="s">
        <v>163</v>
      </c>
      <c r="B6" s="10" t="n">
        <f aca="false">COUNTIF('Tableau de bord'!$B$5:$B$20,"O3")</f>
        <v>3</v>
      </c>
      <c r="C6" s="10" t="n">
        <f aca="false">COUNTIFS('Tableau de bord'!$B$5:$B$20,"O3",'Tableau de bord'!$M$5:$M$20,"Atteint")</f>
        <v>0</v>
      </c>
      <c r="D6" s="10" t="n">
        <f aca="false">COUNTIFS('Tableau de bord'!$B$5:$B$20,"O3",'Tableau de bord'!$M$5:$M$20,"Sous la cible")</f>
        <v>2</v>
      </c>
      <c r="E6" s="10" t="n">
        <f aca="false">COUNTIFS('Tableau de bord'!$B$5:$B$20,"O3",'Tableau de bord'!$M$5:$M$20,"Non mesuré")</f>
        <v>1</v>
      </c>
    </row>
    <row r="7" customFormat="false" ht="15" hidden="false" customHeight="false" outlineLevel="0" collapsed="false">
      <c r="A7" s="30" t="s">
        <v>164</v>
      </c>
      <c r="B7" s="10" t="n">
        <f aca="false">COUNTIF('Tableau de bord'!$B$5:$B$20,"O4")</f>
        <v>2</v>
      </c>
      <c r="C7" s="10" t="n">
        <f aca="false">COUNTIFS('Tableau de bord'!$B$5:$B$20,"O4",'Tableau de bord'!$M$5:$M$20,"Atteint")</f>
        <v>0</v>
      </c>
      <c r="D7" s="10" t="n">
        <f aca="false">COUNTIFS('Tableau de bord'!$B$5:$B$20,"O4",'Tableau de bord'!$M$5:$M$20,"Sous la cible")</f>
        <v>1</v>
      </c>
      <c r="E7" s="10" t="n">
        <f aca="false">COUNTIFS('Tableau de bord'!$B$5:$B$20,"O4",'Tableau de bord'!$M$5:$M$20,"Non mesuré")</f>
        <v>1</v>
      </c>
    </row>
    <row r="8" customFormat="false" ht="15" hidden="false" customHeight="false" outlineLevel="0" collapsed="false">
      <c r="A8" s="30" t="s">
        <v>165</v>
      </c>
      <c r="B8" s="10" t="n">
        <f aca="false">COUNTIF('Tableau de bord'!$B$5:$B$20,"O5")</f>
        <v>3</v>
      </c>
      <c r="C8" s="10" t="n">
        <f aca="false">COUNTIFS('Tableau de bord'!$B$5:$B$20,"O5",'Tableau de bord'!$M$5:$M$20,"Atteint")</f>
        <v>0</v>
      </c>
      <c r="D8" s="10" t="n">
        <f aca="false">COUNTIFS('Tableau de bord'!$B$5:$B$20,"O5",'Tableau de bord'!$M$5:$M$20,"Sous la cible")</f>
        <v>1</v>
      </c>
      <c r="E8" s="10" t="n">
        <f aca="false">COUNTIFS('Tableau de bord'!$B$5:$B$20,"O5",'Tableau de bord'!$M$5:$M$20,"Non mesuré")</f>
        <v>2</v>
      </c>
    </row>
    <row r="9" customFormat="false" ht="15" hidden="false" customHeight="false" outlineLevel="0" collapsed="false">
      <c r="A9" s="30" t="s">
        <v>166</v>
      </c>
      <c r="B9" s="10" t="n">
        <f aca="false">COUNTIF('Tableau de bord'!$B$5:$B$20,"O6")</f>
        <v>1</v>
      </c>
      <c r="C9" s="10" t="n">
        <f aca="false">COUNTIFS('Tableau de bord'!$B$5:$B$20,"O6",'Tableau de bord'!$M$5:$M$20,"Atteint")</f>
        <v>0</v>
      </c>
      <c r="D9" s="10" t="n">
        <f aca="false">COUNTIFS('Tableau de bord'!$B$5:$B$20,"O6",'Tableau de bord'!$M$5:$M$20,"Sous la cible")</f>
        <v>0</v>
      </c>
      <c r="E9" s="10" t="n">
        <f aca="false">COUNTIFS('Tableau de bord'!$B$5:$B$20,"O6",'Tableau de bord'!$M$5:$M$20,"Non mesuré")</f>
        <v>1</v>
      </c>
    </row>
    <row r="10" customFormat="false" ht="15" hidden="false" customHeight="false" outlineLevel="0" collapsed="false">
      <c r="A10" s="30" t="s">
        <v>167</v>
      </c>
      <c r="B10" s="10" t="n">
        <f aca="false">COUNTIF('Tableau de bord'!$B$5:$B$20,"SMSI")</f>
        <v>2</v>
      </c>
      <c r="C10" s="10" t="n">
        <f aca="false">COUNTIFS('Tableau de bord'!$B$5:$B$20,"SMSI",'Tableau de bord'!$M$5:$M$20,"Atteint")</f>
        <v>0</v>
      </c>
      <c r="D10" s="10" t="n">
        <f aca="false">COUNTIFS('Tableau de bord'!$B$5:$B$20,"SMSI",'Tableau de bord'!$M$5:$M$20,"Sous la cible")</f>
        <v>2</v>
      </c>
      <c r="E10" s="10" t="n">
        <f aca="false">COUNTIFS('Tableau de bord'!$B$5:$B$20,"SMSI",'Tableau de bord'!$M$5:$M$20,"Non mesuré")</f>
        <v>0</v>
      </c>
    </row>
    <row r="11" customFormat="false" ht="15" hidden="false" customHeight="false" outlineLevel="0" collapsed="false">
      <c r="A11" s="2" t="s">
        <v>168</v>
      </c>
      <c r="B11" s="9" t="n">
        <f aca="false">SUM(B4:B10)</f>
        <v>16</v>
      </c>
      <c r="C11" s="9" t="n">
        <f aca="false">SUM(C4:C10)</f>
        <v>1</v>
      </c>
      <c r="D11" s="9" t="n">
        <f aca="false">SUM(D4:D10)</f>
        <v>8</v>
      </c>
      <c r="E11" s="9" t="n">
        <f aca="false">SUM(E4:E10)</f>
        <v>7</v>
      </c>
    </row>
    <row r="13" customFormat="false" ht="15" hidden="false" customHeight="false" outlineLevel="0" collapsed="false">
      <c r="A13" s="7" t="s">
        <v>169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2026-09-27T01:23:01Z</dcterms:created>
  <dc:creator>openpyxl</dc:creator>
  <dc:description/>
  <dc:language>en-US</dc:language>
  <cp:lastModifiedBy/>
  <dcterms:modified xsi:type="dcterms:W3CDTF">2026-09-27T01:23:01Z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